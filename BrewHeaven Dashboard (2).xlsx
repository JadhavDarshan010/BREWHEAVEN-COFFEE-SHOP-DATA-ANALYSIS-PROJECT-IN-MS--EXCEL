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SUPER-COMPUTERS\Desktop\Execl Projects\Breaw-Heaven Coffee Shop Data Analysis\"/>
    </mc:Choice>
  </mc:AlternateContent>
  <xr:revisionPtr revIDLastSave="0" documentId="13_ncr:1_{32D7D35E-1D55-4D28-962F-6C69121B5DC9}" xr6:coauthVersionLast="47" xr6:coauthVersionMax="47" xr10:uidLastSave="{00000000-0000-0000-0000-000000000000}"/>
  <bookViews>
    <workbookView xWindow="-120" yWindow="-120" windowWidth="20730" windowHeight="11160" firstSheet="2" activeTab="2" xr2:uid="{FDD7DE1A-744E-4B30-808C-4431D88CEFA1}"/>
  </bookViews>
  <sheets>
    <sheet name="Procesde Data" sheetId="1" r:id="rId1"/>
    <sheet name="Customer Querrry" sheetId="2" r:id="rId2"/>
    <sheet name="Dashboard" sheetId="3" r:id="rId3"/>
    <sheet name="OVERALL PERFORMANCE" sheetId="7" r:id="rId4"/>
    <sheet name="BRANCH &amp; REGION" sheetId="9" r:id="rId5"/>
    <sheet name="PRODUCT &amp; CATEGORY INSIGHTS" sheetId="10" r:id="rId6"/>
    <sheet name="PROFITIBILITY" sheetId="12" r:id="rId7"/>
    <sheet name="CUSTOMER &amp;PAYMENT INSIGHTS" sheetId="13" r:id="rId8"/>
    <sheet name="KEY INSIGHTS" sheetId="14" r:id="rId9"/>
    <sheet name="Pivot Table 1" sheetId="5" r:id="rId10"/>
    <sheet name="Color Scheme To Use" sheetId="4" r:id="rId11"/>
  </sheets>
  <definedNames>
    <definedName name="_xlnm._FilterDatabase" localSheetId="0" hidden="1">'Procesde Data'!$A$1:$Q$586</definedName>
    <definedName name="Slicer_Category">#N/A</definedName>
    <definedName name="Slicer_Month">#N/A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15" i="5" l="1"/>
  <c r="BP14" i="5"/>
  <c r="BP13" i="5"/>
  <c r="BM12" i="5"/>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3" i="1"/>
  <c r="O4" i="1"/>
  <c r="O2" i="1"/>
</calcChain>
</file>

<file path=xl/sharedStrings.xml><?xml version="1.0" encoding="utf-8"?>
<sst xmlns="http://schemas.openxmlformats.org/spreadsheetml/2006/main" count="5481" uniqueCount="524">
  <si>
    <t>Date</t>
  </si>
  <si>
    <t>Region</t>
  </si>
  <si>
    <t>Branch</t>
  </si>
  <si>
    <t>Category</t>
  </si>
  <si>
    <t>Product Name</t>
  </si>
  <si>
    <t>Discount ( 0%)</t>
  </si>
  <si>
    <t>Payment Mode</t>
  </si>
  <si>
    <t>Customer ID</t>
  </si>
  <si>
    <t>Remarks</t>
  </si>
  <si>
    <t>Uptown</t>
  </si>
  <si>
    <t>Branch-4</t>
  </si>
  <si>
    <t>Coffee</t>
  </si>
  <si>
    <t>Latte</t>
  </si>
  <si>
    <t>Cash</t>
  </si>
  <si>
    <t>CUST-1300</t>
  </si>
  <si>
    <t>No Remarks</t>
  </si>
  <si>
    <t>Branch-2</t>
  </si>
  <si>
    <t>Tea</t>
  </si>
  <si>
    <t>Black Tea</t>
  </si>
  <si>
    <t>Card</t>
  </si>
  <si>
    <t>CUST-1864</t>
  </si>
  <si>
    <t>Promo Applied</t>
  </si>
  <si>
    <t>Downtown</t>
  </si>
  <si>
    <t>Branch-5</t>
  </si>
  <si>
    <t>Cold Beverages</t>
  </si>
  <si>
    <t>Cold Brew</t>
  </si>
  <si>
    <t>CUST-1591</t>
  </si>
  <si>
    <t>Beachside</t>
  </si>
  <si>
    <t>Branch-6</t>
  </si>
  <si>
    <t>Desserts</t>
  </si>
  <si>
    <t>Cheesecake</t>
  </si>
  <si>
    <t>CUST-1110</t>
  </si>
  <si>
    <t>Midtown</t>
  </si>
  <si>
    <t>Snacks</t>
  </si>
  <si>
    <t>Sandwich</t>
  </si>
  <si>
    <t>UPI</t>
  </si>
  <si>
    <t>CUST-1317</t>
  </si>
  <si>
    <t>Festival Offer</t>
  </si>
  <si>
    <t>Suburb</t>
  </si>
  <si>
    <t>Branch-7</t>
  </si>
  <si>
    <t>CUST-1935</t>
  </si>
  <si>
    <t>Refunded</t>
  </si>
  <si>
    <t>Smoothie</t>
  </si>
  <si>
    <t>CUST-1464</t>
  </si>
  <si>
    <t>CUST-1369</t>
  </si>
  <si>
    <t>Customer Complaint</t>
  </si>
  <si>
    <t>CUST-1820</t>
  </si>
  <si>
    <t>Cookie</t>
  </si>
  <si>
    <t>CUST-1419</t>
  </si>
  <si>
    <t>CUST-1086</t>
  </si>
  <si>
    <t>Donut</t>
  </si>
  <si>
    <t>CUST-1113</t>
  </si>
  <si>
    <t>CUST-1520</t>
  </si>
  <si>
    <t>CUST-1585</t>
  </si>
  <si>
    <t>Tiramisu</t>
  </si>
  <si>
    <t>CUST-1418</t>
  </si>
  <si>
    <t>Herbal Tea</t>
  </si>
  <si>
    <t>CUST-1549</t>
  </si>
  <si>
    <t>Branch-3</t>
  </si>
  <si>
    <t>Americano</t>
  </si>
  <si>
    <t>CUST-1326</t>
  </si>
  <si>
    <t>Buy 1 Get 1</t>
  </si>
  <si>
    <t>CUST-1018</t>
  </si>
  <si>
    <t>Croissant</t>
  </si>
  <si>
    <t>CUST-1593</t>
  </si>
  <si>
    <t>CUST-1843</t>
  </si>
  <si>
    <t>CUST-1695</t>
  </si>
  <si>
    <t>CUST-1029</t>
  </si>
  <si>
    <t>Masala Chai</t>
  </si>
  <si>
    <t>CUST-1710</t>
  </si>
  <si>
    <t>Branch-1</t>
  </si>
  <si>
    <t>Frappe</t>
  </si>
  <si>
    <t>CUST-1893</t>
  </si>
  <si>
    <t>CUST-1917</t>
  </si>
  <si>
    <t>CUST-1156</t>
  </si>
  <si>
    <t>CUST-1504</t>
  </si>
  <si>
    <t>CUST-1877</t>
  </si>
  <si>
    <t>Iced Tea</t>
  </si>
  <si>
    <t>CUST-1168</t>
  </si>
  <si>
    <t>Muffin</t>
  </si>
  <si>
    <t>CUST-1115</t>
  </si>
  <si>
    <t>Iced Coffee</t>
  </si>
  <si>
    <t>CUST-1201</t>
  </si>
  <si>
    <t>Cupcake</t>
  </si>
  <si>
    <t>CUST-1652</t>
  </si>
  <si>
    <t>CUST-1193</t>
  </si>
  <si>
    <t>CUST-1709</t>
  </si>
  <si>
    <t>CUST-1158</t>
  </si>
  <si>
    <t>Brownie</t>
  </si>
  <si>
    <t>CUST-1065</t>
  </si>
  <si>
    <t>CUST-1016</t>
  </si>
  <si>
    <t>CUST-1912</t>
  </si>
  <si>
    <t>CUST-1653</t>
  </si>
  <si>
    <t>CUST-1501</t>
  </si>
  <si>
    <t>CUST-1255</t>
  </si>
  <si>
    <t>CUST-1851</t>
  </si>
  <si>
    <t>CUST-1009</t>
  </si>
  <si>
    <t>CUST-1437</t>
  </si>
  <si>
    <t>CUST-1150</t>
  </si>
  <si>
    <t>CUST-1045</t>
  </si>
  <si>
    <t>CUST-1986</t>
  </si>
  <si>
    <t>CUST-1693</t>
  </si>
  <si>
    <t>CUST-1899</t>
  </si>
  <si>
    <t>CUST-1539</t>
  </si>
  <si>
    <t>CUST-1068</t>
  </si>
  <si>
    <t>Espresso</t>
  </si>
  <si>
    <t>CUST-1395</t>
  </si>
  <si>
    <t>Green Tea</t>
  </si>
  <si>
    <t>CUST-1916</t>
  </si>
  <si>
    <t>CUST-1692</t>
  </si>
  <si>
    <t>CUST-1294</t>
  </si>
  <si>
    <t>CUST-1052</t>
  </si>
  <si>
    <t>CUST-1863</t>
  </si>
  <si>
    <t>CUST-1249</t>
  </si>
  <si>
    <t>CUST-1243</t>
  </si>
  <si>
    <t>Cappuccino</t>
  </si>
  <si>
    <t>CUST-1923</t>
  </si>
  <si>
    <t>CUST-1192</t>
  </si>
  <si>
    <t>CUST-1476</t>
  </si>
  <si>
    <t>CUST-1900</t>
  </si>
  <si>
    <t>CUST-1850</t>
  </si>
  <si>
    <t>CUST-1827</t>
  </si>
  <si>
    <t>CUST-1787</t>
  </si>
  <si>
    <t>CUST-1241</t>
  </si>
  <si>
    <t>CUST-1681</t>
  </si>
  <si>
    <t>CUST-1697</t>
  </si>
  <si>
    <t>CUST-1532</t>
  </si>
  <si>
    <t>CUST-1654</t>
  </si>
  <si>
    <t>CUST-1098</t>
  </si>
  <si>
    <t>CUST-1818</t>
  </si>
  <si>
    <t>CUST-1769</t>
  </si>
  <si>
    <t>Mocha</t>
  </si>
  <si>
    <t>CUST-1493</t>
  </si>
  <si>
    <t>CUST-1228</t>
  </si>
  <si>
    <t>CUST-1760</t>
  </si>
  <si>
    <t>CUST-1583</t>
  </si>
  <si>
    <t>CUST-1964</t>
  </si>
  <si>
    <t>CUST-1139</t>
  </si>
  <si>
    <t>CUST-1840</t>
  </si>
  <si>
    <t>CUST-1129</t>
  </si>
  <si>
    <t>CUST-1026</t>
  </si>
  <si>
    <t>CUST-1557</t>
  </si>
  <si>
    <t>CUST-1594</t>
  </si>
  <si>
    <t>CUST-1048</t>
  </si>
  <si>
    <t>CUST-1838</t>
  </si>
  <si>
    <t>CUST-1196</t>
  </si>
  <si>
    <t>CUST-1608</t>
  </si>
  <si>
    <t>CUST-1339</t>
  </si>
  <si>
    <t>CUST-1001</t>
  </si>
  <si>
    <t>CUST-1197</t>
  </si>
  <si>
    <t>CUST-1235</t>
  </si>
  <si>
    <t>CUST-1117</t>
  </si>
  <si>
    <t>CUST-1596</t>
  </si>
  <si>
    <t>CUST-1210</t>
  </si>
  <si>
    <t>CUST-1180</t>
  </si>
  <si>
    <t>CUST-1742</t>
  </si>
  <si>
    <t>CUST-1875</t>
  </si>
  <si>
    <t>CUST-1101</t>
  </si>
  <si>
    <t>CUST-1516</t>
  </si>
  <si>
    <t>CUST-1867</t>
  </si>
  <si>
    <t>CUST-1023</t>
  </si>
  <si>
    <t>CUST-1674</t>
  </si>
  <si>
    <t>CUST-1013</t>
  </si>
  <si>
    <t>CUST-1416</t>
  </si>
  <si>
    <t>CUST-1795</t>
  </si>
  <si>
    <t>CUST-1782</t>
  </si>
  <si>
    <t>CUST-1122</t>
  </si>
  <si>
    <t>CUST-1389</t>
  </si>
  <si>
    <t>CUST-1703</t>
  </si>
  <si>
    <t>CUST-1173</t>
  </si>
  <si>
    <t>CUST-1622</t>
  </si>
  <si>
    <t>CUST-1263</t>
  </si>
  <si>
    <t>CUST-1543</t>
  </si>
  <si>
    <t>CUST-1247</t>
  </si>
  <si>
    <t>CUST-1673</t>
  </si>
  <si>
    <t>CUST-1136</t>
  </si>
  <si>
    <t>CUST-1747</t>
  </si>
  <si>
    <t>CUST-1390</t>
  </si>
  <si>
    <t>CUST-1340</t>
  </si>
  <si>
    <t>CUST-1679</t>
  </si>
  <si>
    <t>CUST-1032</t>
  </si>
  <si>
    <t>CUST-1582</t>
  </si>
  <si>
    <t>CUST-1076</t>
  </si>
  <si>
    <t>CUST-1810</t>
  </si>
  <si>
    <t>CUST-1550</t>
  </si>
  <si>
    <t>CUST-1053</t>
  </si>
  <si>
    <t>CUST-1305</t>
  </si>
  <si>
    <t>CUST-1140</t>
  </si>
  <si>
    <t>CUST-1152</t>
  </si>
  <si>
    <t>CUST-1147</t>
  </si>
  <si>
    <t>CUST-1080</t>
  </si>
  <si>
    <t>CUST-1960</t>
  </si>
  <si>
    <t>CUST-1216</t>
  </si>
  <si>
    <t>CUST-1529</t>
  </si>
  <si>
    <t>CUST-1690</t>
  </si>
  <si>
    <t>CUST-1089</t>
  </si>
  <si>
    <t>CUST-1357</t>
  </si>
  <si>
    <t>CUST-1920</t>
  </si>
  <si>
    <t>CUST-1017</t>
  </si>
  <si>
    <t>CUST-1432</t>
  </si>
  <si>
    <t>CUST-1533</t>
  </si>
  <si>
    <t>CUST-1408</t>
  </si>
  <si>
    <t>CUST-1521</t>
  </si>
  <si>
    <t>CUST-1947</t>
  </si>
  <si>
    <t>CUST-1420</t>
  </si>
  <si>
    <t>CUST-1325</t>
  </si>
  <si>
    <t>CUST-1908</t>
  </si>
  <si>
    <t>CUST-1626</t>
  </si>
  <si>
    <t>CUST-1469</t>
  </si>
  <si>
    <t>CUST-1214</t>
  </si>
  <si>
    <t>CUST-1049</t>
  </si>
  <si>
    <t>CUST-1222</t>
  </si>
  <si>
    <t>CUST-1802</t>
  </si>
  <si>
    <t>CUST-1107</t>
  </si>
  <si>
    <t>CUST-1312</t>
  </si>
  <si>
    <t>CUST-1285</t>
  </si>
  <si>
    <t>CUST-1497</t>
  </si>
  <si>
    <t>CUST-1396</t>
  </si>
  <si>
    <t>CUST-1087</t>
  </si>
  <si>
    <t>CUST-1377</t>
  </si>
  <si>
    <t>CUST-1954</t>
  </si>
  <si>
    <t>CUST-1526</t>
  </si>
  <si>
    <t>CUST-1910</t>
  </si>
  <si>
    <t>CUST-1279</t>
  </si>
  <si>
    <t>CUST-1979</t>
  </si>
  <si>
    <t>CUST-1403</t>
  </si>
  <si>
    <t>CUST-1081</t>
  </si>
  <si>
    <t>CUST-1471</t>
  </si>
  <si>
    <t>CUST-1569</t>
  </si>
  <si>
    <t>CUST-1148</t>
  </si>
  <si>
    <t>CUST-1948</t>
  </si>
  <si>
    <t>CUST-1188</t>
  </si>
  <si>
    <t>CUST-1933</t>
  </si>
  <si>
    <t>CUST-1382</t>
  </si>
  <si>
    <t>CUST-1578</t>
  </si>
  <si>
    <t>CUST-1499</t>
  </si>
  <si>
    <t>CUST-1606</t>
  </si>
  <si>
    <t>CUST-1862</t>
  </si>
  <si>
    <t>CUST-1546</t>
  </si>
  <si>
    <t>CUST-1436</t>
  </si>
  <si>
    <t>CUST-1345</t>
  </si>
  <si>
    <t>CUST-1127</t>
  </si>
  <si>
    <t>CUST-1616</t>
  </si>
  <si>
    <t>CUST-1762</t>
  </si>
  <si>
    <t>CUST-1788</t>
  </si>
  <si>
    <t>CUST-1632</t>
  </si>
  <si>
    <t>CUST-1996</t>
  </si>
  <si>
    <t>CUST-1937</t>
  </si>
  <si>
    <t>CUST-1069</t>
  </si>
  <si>
    <t>CUST-1074</t>
  </si>
  <si>
    <t>CUST-1555</t>
  </si>
  <si>
    <t>CUST-1268</t>
  </si>
  <si>
    <t>CUST-1819</t>
  </si>
  <si>
    <t>CUST-1346</t>
  </si>
  <si>
    <t>CUST-1876</t>
  </si>
  <si>
    <t>CUST-1552</t>
  </si>
  <si>
    <t>CUST-1460</t>
  </si>
  <si>
    <t>CUST-1715</t>
  </si>
  <si>
    <t>CUST-1548</t>
  </si>
  <si>
    <t>CUST-1731</t>
  </si>
  <si>
    <t>CUST-1397</t>
  </si>
  <si>
    <t>CUST-1202</t>
  </si>
  <si>
    <t>CUST-1799</t>
  </si>
  <si>
    <t>CUST-1307</t>
  </si>
  <si>
    <t>CUST-1323</t>
  </si>
  <si>
    <t>CUST-1544</t>
  </si>
  <si>
    <t>CUST-1890</t>
  </si>
  <si>
    <t>CUST-1227</t>
  </si>
  <si>
    <t>CUST-1750</t>
  </si>
  <si>
    <t>CUST-1783</t>
  </si>
  <si>
    <t>CUST-1206</t>
  </si>
  <si>
    <t>CUST-1442</t>
  </si>
  <si>
    <t>CUST-1041</t>
  </si>
  <si>
    <t>CUST-1675</t>
  </si>
  <si>
    <t>CUST-1011</t>
  </si>
  <si>
    <t>CUST-1962</t>
  </si>
  <si>
    <t>CUST-1440</t>
  </si>
  <si>
    <t>CUST-1992</t>
  </si>
  <si>
    <t>CUST-1450</t>
  </si>
  <si>
    <t>CUST-1896</t>
  </si>
  <si>
    <t>CUST-1412</t>
  </si>
  <si>
    <t>CUST-1314</t>
  </si>
  <si>
    <t>CUST-1792</t>
  </si>
  <si>
    <t>CUST-1405</t>
  </si>
  <si>
    <t>CUST-1835</t>
  </si>
  <si>
    <t>CUST-1786</t>
  </si>
  <si>
    <t>CUST-1399</t>
  </si>
  <si>
    <t>CUST-1145</t>
  </si>
  <si>
    <t>CUST-1936</t>
  </si>
  <si>
    <t>CUST-1112</t>
  </si>
  <si>
    <t>CUST-1438</t>
  </si>
  <si>
    <t>CUST-1648</t>
  </si>
  <si>
    <t>CUST-1410</t>
  </si>
  <si>
    <t>CUST-1384</t>
  </si>
  <si>
    <t>CUST-1302</t>
  </si>
  <si>
    <t>CUST-1712</t>
  </si>
  <si>
    <t>CUST-1483</t>
  </si>
  <si>
    <t>CUST-1020</t>
  </si>
  <si>
    <t>CUST-1705</t>
  </si>
  <si>
    <t>CUST-1951</t>
  </si>
  <si>
    <t>CUST-1524</t>
  </si>
  <si>
    <t>CUST-1310</t>
  </si>
  <si>
    <t>CUST-1225</t>
  </si>
  <si>
    <t>CUST-1730</t>
  </si>
  <si>
    <t>CUST-1102</t>
  </si>
  <si>
    <t>CUST-1895</t>
  </si>
  <si>
    <t>CUST-1587</t>
  </si>
  <si>
    <t>CUST-1978</t>
  </si>
  <si>
    <t>CUST-1881</t>
  </si>
  <si>
    <t>CUST-1004</t>
  </si>
  <si>
    <t>CUST-1959</t>
  </si>
  <si>
    <t>CUST-1083</t>
  </si>
  <si>
    <t>CUST-1848</t>
  </si>
  <si>
    <t>CUST-1292</t>
  </si>
  <si>
    <t>CUST-1138</t>
  </si>
  <si>
    <t>CUST-1058</t>
  </si>
  <si>
    <t>CUST-1003</t>
  </si>
  <si>
    <t>CUST-1422</t>
  </si>
  <si>
    <t>CUST-1185</t>
  </si>
  <si>
    <t>CUST-1350</t>
  </si>
  <si>
    <t>CUST-1223</t>
  </si>
  <si>
    <t>CUST-1764</t>
  </si>
  <si>
    <t>CUST-1166</t>
  </si>
  <si>
    <t>CUST-1400</t>
  </si>
  <si>
    <t>CUST-1510</t>
  </si>
  <si>
    <t>CUST-1680</t>
  </si>
  <si>
    <t>CUST-1149</t>
  </si>
  <si>
    <t>CUST-1789</t>
  </si>
  <si>
    <t>CUST-1723</t>
  </si>
  <si>
    <t>CUST-1404</t>
  </si>
  <si>
    <t>CUST-1295</t>
  </si>
  <si>
    <t>CUST-1213</t>
  </si>
  <si>
    <t>CUST-1453</t>
  </si>
  <si>
    <t>CUST-1874</t>
  </si>
  <si>
    <t>CUST-1131</t>
  </si>
  <si>
    <t>CUST-1232</t>
  </si>
  <si>
    <t>CUST-1758</t>
  </si>
  <si>
    <t>CUST-1651</t>
  </si>
  <si>
    <t>CUST-1256</t>
  </si>
  <si>
    <t>CUST-1588</t>
  </si>
  <si>
    <t>CUST-1335</t>
  </si>
  <si>
    <t>CUST-1738</t>
  </si>
  <si>
    <t>CUST-1993</t>
  </si>
  <si>
    <t>CUST-1961</t>
  </si>
  <si>
    <t>CUST-1922</t>
  </si>
  <si>
    <t>CUST-1879</t>
  </si>
  <si>
    <t>CUST-1064</t>
  </si>
  <si>
    <t>CUST-1070</t>
  </si>
  <si>
    <t>CUST-1445</t>
  </si>
  <si>
    <t>CUST-1398</t>
  </si>
  <si>
    <t>CUST-1839</t>
  </si>
  <si>
    <t>CUST-1746</t>
  </si>
  <si>
    <t>CUST-1977</t>
  </si>
  <si>
    <t>CUST-1451</t>
  </si>
  <si>
    <t>CUST-1566</t>
  </si>
  <si>
    <t>CUST-1462</t>
  </si>
  <si>
    <t>CUST-1554</t>
  </si>
  <si>
    <t>CUST-1707</t>
  </si>
  <si>
    <t>CUST-1484</t>
  </si>
  <si>
    <t>CUST-1067</t>
  </si>
  <si>
    <t>CUST-1341</t>
  </si>
  <si>
    <t>CUST-1921</t>
  </si>
  <si>
    <t>CUST-1402</t>
  </si>
  <si>
    <t>CUST-1084</t>
  </si>
  <si>
    <t>CUST-1132</t>
  </si>
  <si>
    <t>CUST-1736</t>
  </si>
  <si>
    <t>CUST-1409</t>
  </si>
  <si>
    <t>CUST-1628</t>
  </si>
  <si>
    <t>CUST-1989</t>
  </si>
  <si>
    <t>CUST-1413</t>
  </si>
  <si>
    <t>CUST-1100</t>
  </si>
  <si>
    <t>CUST-1836</t>
  </si>
  <si>
    <t>CUST-1170</t>
  </si>
  <si>
    <t>CUST-1846</t>
  </si>
  <si>
    <t>CUST-1801</t>
  </si>
  <si>
    <t>CUST-1617</t>
  </si>
  <si>
    <t>CUST-1372</t>
  </si>
  <si>
    <t>CUST-1872</t>
  </si>
  <si>
    <t>CUST-1897</t>
  </si>
  <si>
    <t>CUST-1678</t>
  </si>
  <si>
    <t>CUST-1331</t>
  </si>
  <si>
    <t>CUST-1215</t>
  </si>
  <si>
    <t>CUST-1090</t>
  </si>
  <si>
    <t>CUST-1119</t>
  </si>
  <si>
    <t>CUST-1757</t>
  </si>
  <si>
    <t>CUST-1368</t>
  </si>
  <si>
    <t>CUST-1155</t>
  </si>
  <si>
    <t>CUST-1562</t>
  </si>
  <si>
    <t>CUST-1609</t>
  </si>
  <si>
    <t>CUST-1699</t>
  </si>
  <si>
    <t>CUST-1949</t>
  </si>
  <si>
    <t>CUST-1055</t>
  </si>
  <si>
    <t>CUST-1266</t>
  </si>
  <si>
    <t>CUST-1589</t>
  </si>
  <si>
    <t>CUST-1482</t>
  </si>
  <si>
    <t>CUST-1638</t>
  </si>
  <si>
    <t>CUST-1595</t>
  </si>
  <si>
    <t>CUST-1567</t>
  </si>
  <si>
    <t>CUST-1774</t>
  </si>
  <si>
    <t>CUST-1906</t>
  </si>
  <si>
    <t>CUST-1905</t>
  </si>
  <si>
    <t>CUST-1688</t>
  </si>
  <si>
    <t>CUST-1449</t>
  </si>
  <si>
    <t>CUST-1044</t>
  </si>
  <si>
    <t>CUST-1522</t>
  </si>
  <si>
    <t>CUST-1946</t>
  </si>
  <si>
    <t>CUST-1995</t>
  </si>
  <si>
    <t>CUST-1708</t>
  </si>
  <si>
    <t>CUST-1477</t>
  </si>
  <si>
    <t>CUST-1060</t>
  </si>
  <si>
    <t>CUST-1861</t>
  </si>
  <si>
    <t>CUST-1793</t>
  </si>
  <si>
    <t>CUST-1655</t>
  </si>
  <si>
    <t>CUST-1178</t>
  </si>
  <si>
    <t>CUST-1342</t>
  </si>
  <si>
    <t>CUST-1889</t>
  </si>
  <si>
    <t>CUST-1953</t>
  </si>
  <si>
    <t>CUST-1429</t>
  </si>
  <si>
    <t>CUST-1159</t>
  </si>
  <si>
    <t>CUST-1203</t>
  </si>
  <si>
    <t>CUST-1443</t>
  </si>
  <si>
    <t>CUST-1828</t>
  </si>
  <si>
    <t>CUST-1560</t>
  </si>
  <si>
    <t>CUST-1488</t>
  </si>
  <si>
    <t>CUST-1870</t>
  </si>
  <si>
    <t>CUST-1855</t>
  </si>
  <si>
    <t>CUST-1481</t>
  </si>
  <si>
    <t>CUST-1104</t>
  </si>
  <si>
    <t>CUST-1672</t>
  </si>
  <si>
    <t>CUST-1754</t>
  </si>
  <si>
    <t>CUST-1997</t>
  </si>
  <si>
    <t>CUST-1666</t>
  </si>
  <si>
    <t>CUST-1111</t>
  </si>
  <si>
    <t>CUST-1924</t>
  </si>
  <si>
    <t>CUST-1179</t>
  </si>
  <si>
    <t>CUST-1659</t>
  </si>
  <si>
    <t>CUST-1940</t>
  </si>
  <si>
    <t>CUST-1805</t>
  </si>
  <si>
    <t>CUST-1726</t>
  </si>
  <si>
    <t>CUST-1191</t>
  </si>
  <si>
    <t>CUST-1078</t>
  </si>
  <si>
    <t>CUST-1154</t>
  </si>
  <si>
    <t>CUST-1143</t>
  </si>
  <si>
    <t>CUST-1684</t>
  </si>
  <si>
    <t>CUST-1472</t>
  </si>
  <si>
    <t>CUST-1541</t>
  </si>
  <si>
    <t>CUST-1644</t>
  </si>
  <si>
    <t>CUST-1430</t>
  </si>
  <si>
    <t>CUST-1704</t>
  </si>
  <si>
    <t>CUST-1347</t>
  </si>
  <si>
    <t>CUST-1360</t>
  </si>
  <si>
    <t>CUST-1765</t>
  </si>
  <si>
    <t>CUST-1852</t>
  </si>
  <si>
    <t>CUST-1219</t>
  </si>
  <si>
    <t>CUST-1278</t>
  </si>
  <si>
    <t>CUST-1534</t>
  </si>
  <si>
    <t>CUST-1500</t>
  </si>
  <si>
    <t>CUST-1298</t>
  </si>
  <si>
    <t>CUST-1414</t>
  </si>
  <si>
    <t>CUST-1106</t>
  </si>
  <si>
    <t>CUST-1364</t>
  </si>
  <si>
    <t>CUST-1914</t>
  </si>
  <si>
    <t>CUST-1637</t>
  </si>
  <si>
    <t>CUST-1351</t>
  </si>
  <si>
    <t>CUST-1366</t>
  </si>
  <si>
    <t>CUST-1685</t>
  </si>
  <si>
    <t>CUST-1417</t>
  </si>
  <si>
    <t>CUST-1251</t>
  </si>
  <si>
    <t>CUST-1198</t>
  </si>
  <si>
    <t>CUST-1015</t>
  </si>
  <si>
    <t>CUST-1277</t>
  </si>
  <si>
    <t>CUST-1570</t>
  </si>
  <si>
    <t>CUST-1806</t>
  </si>
  <si>
    <t>CUST-1512</t>
  </si>
  <si>
    <t>CUST-1031</t>
  </si>
  <si>
    <t>CUST-1804</t>
  </si>
  <si>
    <t>CUST-1288</t>
  </si>
  <si>
    <t>CUST-1540</t>
  </si>
  <si>
    <t>CUST-1071</t>
  </si>
  <si>
    <t>Month</t>
  </si>
  <si>
    <t xml:space="preserve">Day </t>
  </si>
  <si>
    <t>Total Reveneue</t>
  </si>
  <si>
    <t>Profit</t>
  </si>
  <si>
    <t>Sep</t>
  </si>
  <si>
    <t>Fri</t>
  </si>
  <si>
    <t>Nov</t>
  </si>
  <si>
    <t>Apr</t>
  </si>
  <si>
    <t>Wed</t>
  </si>
  <si>
    <t>Sun</t>
  </si>
  <si>
    <t>Jan</t>
  </si>
  <si>
    <t>Sat</t>
  </si>
  <si>
    <t>Mon</t>
  </si>
  <si>
    <t>May</t>
  </si>
  <si>
    <t>Tue</t>
  </si>
  <si>
    <t>Mar</t>
  </si>
  <si>
    <t>Aug</t>
  </si>
  <si>
    <t>Thu</t>
  </si>
  <si>
    <t>Jun</t>
  </si>
  <si>
    <t>Dec</t>
  </si>
  <si>
    <t>Oct</t>
  </si>
  <si>
    <t>Feb</t>
  </si>
  <si>
    <t>Jul</t>
  </si>
  <si>
    <t xml:space="preserve">Unit Sold </t>
  </si>
  <si>
    <t>Unit Price / Market Price</t>
  </si>
  <si>
    <t xml:space="preserve">Cost Price /Actual Price </t>
  </si>
  <si>
    <t>BackGround (dashboard Background,sheps behind charts,card background)</t>
  </si>
  <si>
    <t>Primery (main Heading,section heading like sales summery,kpis,charts)</t>
  </si>
  <si>
    <t>Accent 1 (main Chart Bar Lines ,main kpi Numbers,icons inside cards,imp labels)</t>
  </si>
  <si>
    <t>Accent 2 (secondary chart lines(fill ),</t>
  </si>
  <si>
    <t>Highlight(growth +15 %, top Bottom Performer,aletres,imp callout text)</t>
  </si>
  <si>
    <t>Sum of Total Reveneue</t>
  </si>
  <si>
    <t xml:space="preserve">Sum of Unit Sold </t>
  </si>
  <si>
    <t>Row Labels</t>
  </si>
  <si>
    <t>Grand Total</t>
  </si>
  <si>
    <t>ITEM VS REVENEU</t>
  </si>
  <si>
    <t>ITEM VS UNIT SOLD</t>
  </si>
  <si>
    <t>Sum of Profit</t>
  </si>
  <si>
    <t>Average of Profit</t>
  </si>
  <si>
    <t>Sum of PROFIT RATIO</t>
  </si>
  <si>
    <t>Count of Payment Mode</t>
  </si>
  <si>
    <t>Column Labels</t>
  </si>
  <si>
    <t>DISSCOUNT APPLIED</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</si>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</sst>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 mm\ /\ yyyy"/>
    <numFmt numFmtId="165" formatCode="&quot;₹&quot;\ #,##0"/>
  </numFmts>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FFF8E7"/>
        <bgColor indexed="64"/>
      </patternFill>
    </fill>
    <fill>
      <patternFill patternType="solid">
        <fgColor rgb="FF6B4E3D"/>
        <bgColor indexed="64"/>
      </patternFill>
    </fill>
    <fill>
      <patternFill patternType="solid">
        <fgColor rgb="FFE07A5F"/>
        <bgColor indexed="64"/>
      </patternFill>
    </fill>
    <fill>
      <patternFill patternType="solid">
        <fgColor rgb="FFF2CC8F"/>
        <bgColor indexed="64"/>
      </patternFill>
    </fill>
    <fill>
      <patternFill patternType="solid">
        <fgColor rgb="FF81B29A"/>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xf>
    <xf numFmtId="164" fontId="0" fillId="0" borderId="1" xfId="0" applyNumberFormat="1" applyBorder="1"/>
    <xf numFmtId="0" fontId="0" fillId="0" borderId="1" xfId="0" applyBorder="1"/>
    <xf numFmtId="1" fontId="0" fillId="0" borderId="1" xfId="0" applyNumberFormat="1" applyBorder="1"/>
    <xf numFmtId="0" fontId="0" fillId="3" borderId="0" xfId="0" applyFill="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9" borderId="0" xfId="0" applyFill="1"/>
    <xf numFmtId="9" fontId="0" fillId="0" borderId="0" xfId="0" applyNumberFormat="1"/>
  </cellXfs>
  <cellStyles count="1">
    <cellStyle name="Normal" xfId="0" builtinId="0"/>
  </cellStyles>
  <dxfs count="10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6B4E3D"/>
      <color rgb="FFFFF8E7"/>
      <color rgb="FFFDF0BB"/>
      <color rgb="FFF2CC8F"/>
      <color rgb="FF81B29A"/>
      <color rgb="FFE07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2.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1!MOTH_WISE_SALES</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MONTHLY</a:t>
            </a:r>
            <a:r>
              <a:rPr lang="en-US" sz="1600" b="1" baseline="0">
                <a:solidFill>
                  <a:schemeClr val="bg1"/>
                </a:solidFill>
              </a:rPr>
              <a:t> SALES TREND </a:t>
            </a:r>
            <a:endParaRPr lang="en-US" sz="1600" b="1">
              <a:solidFill>
                <a:schemeClr val="bg1"/>
              </a:solidFill>
            </a:endParaRPr>
          </a:p>
        </c:rich>
      </c:tx>
      <c:overlay val="0"/>
      <c:spPr>
        <a:solidFill>
          <a:srgbClr val="6B4E3D"/>
        </a:solidFill>
        <a:ln>
          <a:solidFill>
            <a:schemeClr val="bg1"/>
          </a:solid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E07A5F"/>
            </a:solidFill>
            <a:round/>
          </a:ln>
          <a:effectLst/>
        </c:spPr>
        <c:marker>
          <c:symbol val="circle"/>
          <c:size val="7"/>
          <c:spPr>
            <a:solidFill>
              <a:srgbClr val="6B4E3D"/>
            </a:solidFill>
            <a:ln w="9525">
              <a:solidFill>
                <a:schemeClr val="accent1"/>
              </a:solidFill>
            </a:ln>
            <a:effectLst/>
          </c:spPr>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07A5F"/>
            </a:solidFill>
            <a:round/>
          </a:ln>
          <a:effectLst/>
        </c:spPr>
        <c:marker>
          <c:symbol val="circle"/>
          <c:size val="7"/>
          <c:spPr>
            <a:solidFill>
              <a:srgbClr val="6B4E3D"/>
            </a:solidFill>
            <a:ln w="9525">
              <a:solidFill>
                <a:schemeClr val="accent1"/>
              </a:solidFill>
            </a:ln>
            <a:effectLst/>
          </c:spPr>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E07A5F"/>
            </a:solidFill>
            <a:round/>
          </a:ln>
          <a:effectLst/>
        </c:spPr>
        <c:marker>
          <c:symbol val="circle"/>
          <c:size val="7"/>
          <c:spPr>
            <a:solidFill>
              <a:srgbClr val="6B4E3D"/>
            </a:solidFill>
            <a:ln w="9525">
              <a:solidFill>
                <a:schemeClr val="accent1"/>
              </a:solidFill>
            </a:ln>
            <a:effectLst/>
          </c:spPr>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1'!$D$3</c:f>
              <c:strCache>
                <c:ptCount val="1"/>
                <c:pt idx="0">
                  <c:v>Total</c:v>
                </c:pt>
              </c:strCache>
            </c:strRef>
          </c:tx>
          <c:spPr>
            <a:ln w="28575" cap="rnd">
              <a:solidFill>
                <a:srgbClr val="E07A5F"/>
              </a:solidFill>
              <a:round/>
            </a:ln>
            <a:effectLst/>
          </c:spPr>
          <c:marker>
            <c:symbol val="circle"/>
            <c:size val="7"/>
            <c:spPr>
              <a:solidFill>
                <a:srgbClr val="6B4E3D"/>
              </a:solidFill>
              <a:ln w="9525">
                <a:solidFill>
                  <a:schemeClr val="accent1"/>
                </a:solidFill>
              </a:ln>
              <a:effectLst/>
            </c:spPr>
          </c:marker>
          <c:dLbls>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1'!$C$4:$C$15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1'!$D$4:$D$15</c:f>
              <c:numCache>
                <c:formatCode>"₹"\ #,##0</c:formatCode>
                <c:ptCount val="12"/>
                <c:pt idx="0">
                  <c:v>30330</c:v>
                </c:pt>
                <c:pt idx="1">
                  <c:v>24367.5</c:v>
                </c:pt>
                <c:pt idx="2">
                  <c:v>25322.5</c:v>
                </c:pt>
                <c:pt idx="3">
                  <c:v>22150</c:v>
                </c:pt>
                <c:pt idx="4">
                  <c:v>22395</c:v>
                </c:pt>
                <c:pt idx="5">
                  <c:v>31295</c:v>
                </c:pt>
                <c:pt idx="6">
                  <c:v>26860</c:v>
                </c:pt>
                <c:pt idx="7">
                  <c:v>23015</c:v>
                </c:pt>
                <c:pt idx="8">
                  <c:v>29030</c:v>
                </c:pt>
                <c:pt idx="9">
                  <c:v>22922.5</c:v>
                </c:pt>
                <c:pt idx="10">
                  <c:v>21377.5</c:v>
                </c:pt>
                <c:pt idx="11">
                  <c:v>23865</c:v>
                </c:pt>
              </c:numCache>
            </c:numRef>
          </c:val>
          <c:smooth val="0"/>
          <c:extLst>
            <c:ext xmlns:c16="http://schemas.microsoft.com/office/drawing/2014/chart" uri="{C3380CC4-5D6E-409C-BE32-E72D297353CC}">
              <c16:uniqueId val="{00000000-6ECA-4C03-BA0C-E122F19B51EA}"/>
            </c:ext>
          </c:extLst>
        </c:ser>
        <c:dLbls>
          <c:dLblPos val="t"/>
          <c:showLegendKey val="0"/>
          <c:showVal val="1"/>
          <c:showCatName val="0"/>
          <c:showSerName val="0"/>
          <c:showPercent val="0"/>
          <c:showBubbleSize val="0"/>
        </c:dLbls>
        <c:dropLines>
          <c:spPr>
            <a:ln w="9525" cap="flat" cmpd="sng" algn="ctr">
              <a:solidFill>
                <a:schemeClr val="tx1">
                  <a:lumMod val="85000"/>
                  <a:lumOff val="15000"/>
                </a:schemeClr>
              </a:solidFill>
              <a:round/>
            </a:ln>
            <a:effectLst/>
          </c:spPr>
        </c:dropLines>
        <c:marker val="1"/>
        <c:smooth val="0"/>
        <c:axId val="1157309680"/>
        <c:axId val="1157299696"/>
      </c:lineChart>
      <c:catAx>
        <c:axId val="1157309680"/>
        <c:scaling>
          <c:orientation val="minMax"/>
        </c:scaling>
        <c:delete val="0"/>
        <c:axPos val="b"/>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157299696"/>
        <c:crosses val="autoZero"/>
        <c:auto val="1"/>
        <c:lblAlgn val="ctr"/>
        <c:lblOffset val="100"/>
        <c:noMultiLvlLbl val="0"/>
      </c:catAx>
      <c:valAx>
        <c:axId val="1157299696"/>
        <c:scaling>
          <c:orientation val="minMax"/>
        </c:scaling>
        <c:delete val="0"/>
        <c:axPos val="l"/>
        <c:numFmt formatCode="&quot;₹&quot;\ #,##0" sourceLinked="1"/>
        <c:majorTickMark val="none"/>
        <c:minorTickMark val="none"/>
        <c:tickLblPos val="nextTo"/>
        <c:spPr>
          <a:noFill/>
          <a:ln>
            <a:solidFill>
              <a:schemeClr val="tx1">
                <a:lumMod val="85000"/>
                <a:lumOff val="15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15730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7"/>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1!BRANCH_WISE_REVENEUE</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BRANCH</a:t>
            </a:r>
            <a:r>
              <a:rPr lang="en-US" sz="1400" b="1" baseline="0">
                <a:solidFill>
                  <a:schemeClr val="bg1"/>
                </a:solidFill>
              </a:rPr>
              <a:t> WISE SALE'S</a:t>
            </a:r>
          </a:p>
        </c:rich>
      </c:tx>
      <c:overlay val="0"/>
      <c:spPr>
        <a:solidFill>
          <a:srgbClr val="6B4E3D"/>
        </a:solidFill>
        <a:ln>
          <a:solidFill>
            <a:schemeClr val="tx1">
              <a:lumMod val="95000"/>
              <a:lumOff val="5000"/>
            </a:schemeClr>
          </a:soli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E07A5F"/>
          </a:solidFill>
          <a:ln w="12700">
            <a:solidFill>
              <a:schemeClr val="tx1">
                <a:lumMod val="75000"/>
                <a:lumOff val="25000"/>
              </a:schemeClr>
            </a:solidFill>
          </a:ln>
          <a:effectLst/>
        </c:spPr>
        <c:marker>
          <c:symbol val="none"/>
        </c:marker>
        <c:dLbl>
          <c:idx val="0"/>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7A5F"/>
          </a:solidFill>
          <a:ln w="12700">
            <a:solidFill>
              <a:schemeClr val="tx1">
                <a:lumMod val="75000"/>
                <a:lumOff val="25000"/>
              </a:schemeClr>
            </a:solidFill>
          </a:ln>
          <a:effectLst/>
        </c:spPr>
        <c:marker>
          <c:symbol val="none"/>
        </c:marker>
        <c:dLbl>
          <c:idx val="0"/>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07A5F"/>
          </a:solidFill>
          <a:ln w="12700">
            <a:solidFill>
              <a:schemeClr val="tx1">
                <a:lumMod val="75000"/>
                <a:lumOff val="25000"/>
              </a:schemeClr>
            </a:solidFill>
          </a:ln>
          <a:effectLst/>
        </c:spPr>
        <c:marker>
          <c:symbol val="none"/>
        </c:marker>
        <c:dLbl>
          <c:idx val="0"/>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1'!$J$3</c:f>
              <c:strCache>
                <c:ptCount val="1"/>
                <c:pt idx="0">
                  <c:v>Total</c:v>
                </c:pt>
              </c:strCache>
            </c:strRef>
          </c:tx>
          <c:spPr>
            <a:solidFill>
              <a:srgbClr val="E07A5F"/>
            </a:solidFill>
            <a:ln w="12700">
              <a:solidFill>
                <a:schemeClr val="tx1">
                  <a:lumMod val="75000"/>
                  <a:lumOff val="25000"/>
                </a:schemeClr>
              </a:solidFill>
            </a:ln>
            <a:effectLst/>
          </c:spPr>
          <c:invertIfNegative val="0"/>
          <c:dLbls>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1'!$I$4:$I$10</c:f>
              <c:strCache>
                <c:ptCount val="7"/>
                <c:pt idx="0">
                  <c:v>Branch-1</c:v>
                </c:pt>
                <c:pt idx="1">
                  <c:v>Branch-2</c:v>
                </c:pt>
                <c:pt idx="2">
                  <c:v>Branch-3</c:v>
                </c:pt>
                <c:pt idx="3">
                  <c:v>Branch-4</c:v>
                </c:pt>
                <c:pt idx="4">
                  <c:v>Branch-5</c:v>
                </c:pt>
                <c:pt idx="5">
                  <c:v>Branch-6</c:v>
                </c:pt>
                <c:pt idx="6">
                  <c:v>Branch-7</c:v>
                </c:pt>
              </c:strCache>
            </c:strRef>
          </c:cat>
          <c:val>
            <c:numRef>
              <c:f>'Pivot Table 1'!$J$4:$J$10</c:f>
              <c:numCache>
                <c:formatCode>"₹"\ #,##0</c:formatCode>
                <c:ptCount val="7"/>
                <c:pt idx="0">
                  <c:v>31750</c:v>
                </c:pt>
                <c:pt idx="1">
                  <c:v>50897.5</c:v>
                </c:pt>
                <c:pt idx="2">
                  <c:v>48715</c:v>
                </c:pt>
                <c:pt idx="3">
                  <c:v>44430</c:v>
                </c:pt>
                <c:pt idx="4">
                  <c:v>36917.5</c:v>
                </c:pt>
                <c:pt idx="5">
                  <c:v>47110</c:v>
                </c:pt>
                <c:pt idx="6">
                  <c:v>43110</c:v>
                </c:pt>
              </c:numCache>
            </c:numRef>
          </c:val>
          <c:extLst>
            <c:ext xmlns:c16="http://schemas.microsoft.com/office/drawing/2014/chart" uri="{C3380CC4-5D6E-409C-BE32-E72D297353CC}">
              <c16:uniqueId val="{00000000-3E48-4AC9-9C17-43A05A770442}"/>
            </c:ext>
          </c:extLst>
        </c:ser>
        <c:dLbls>
          <c:dLblPos val="outEnd"/>
          <c:showLegendKey val="0"/>
          <c:showVal val="1"/>
          <c:showCatName val="0"/>
          <c:showSerName val="0"/>
          <c:showPercent val="0"/>
          <c:showBubbleSize val="0"/>
        </c:dLbls>
        <c:gapWidth val="219"/>
        <c:overlap val="-27"/>
        <c:axId val="1588900560"/>
        <c:axId val="1588910544"/>
      </c:barChart>
      <c:catAx>
        <c:axId val="1588900560"/>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588910544"/>
        <c:crosses val="autoZero"/>
        <c:auto val="1"/>
        <c:lblAlgn val="ctr"/>
        <c:lblOffset val="100"/>
        <c:noMultiLvlLbl val="0"/>
      </c:catAx>
      <c:valAx>
        <c:axId val="1588910544"/>
        <c:scaling>
          <c:orientation val="minMax"/>
        </c:scaling>
        <c:delete val="0"/>
        <c:axPos val="l"/>
        <c:numFmt formatCode="&quot;₹&quot;\ #,##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588900560"/>
        <c:crosses val="autoZero"/>
        <c:crossBetween val="between"/>
      </c:valAx>
      <c:spPr>
        <a:solidFill>
          <a:srgbClr val="FFF8E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7"/>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1!REGION_WISE_REVENEUE</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REGION</a:t>
            </a:r>
            <a:r>
              <a:rPr lang="en-US" sz="1600" b="1" baseline="0">
                <a:solidFill>
                  <a:schemeClr val="bg1"/>
                </a:solidFill>
              </a:rPr>
              <a:t> WISE SALE'S</a:t>
            </a:r>
            <a:endParaRPr lang="en-US" sz="1600" b="1">
              <a:solidFill>
                <a:schemeClr val="bg1"/>
              </a:solidFill>
            </a:endParaRPr>
          </a:p>
        </c:rich>
      </c:tx>
      <c:layout>
        <c:manualLayout>
          <c:xMode val="edge"/>
          <c:yMode val="edge"/>
          <c:x val="0.31805501082231907"/>
          <c:y val="2.7777777777777776E-2"/>
        </c:manualLayout>
      </c:layout>
      <c:overlay val="0"/>
      <c:spPr>
        <a:solidFill>
          <a:srgbClr val="6B4E3D"/>
        </a:solidFill>
        <a:ln>
          <a:solidFill>
            <a:schemeClr val="tx1">
              <a:lumMod val="95000"/>
              <a:lumOff val="5000"/>
            </a:schemeClr>
          </a:solid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E07A5F"/>
          </a:solidFill>
          <a:ln w="12700">
            <a:solidFill>
              <a:schemeClr val="tx1">
                <a:lumMod val="75000"/>
                <a:lumOff val="25000"/>
              </a:schemeClr>
            </a:solidFill>
          </a:ln>
          <a:effectLst/>
        </c:spPr>
        <c:marker>
          <c:symbol val="none"/>
        </c:marker>
        <c:dLbl>
          <c:idx val="0"/>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7A5F"/>
          </a:solidFill>
          <a:ln w="12700">
            <a:solidFill>
              <a:schemeClr val="tx1">
                <a:lumMod val="75000"/>
                <a:lumOff val="25000"/>
              </a:schemeClr>
            </a:solidFill>
          </a:ln>
          <a:effectLst/>
        </c:spPr>
        <c:marker>
          <c:symbol val="none"/>
        </c:marker>
        <c:dLbl>
          <c:idx val="0"/>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07A5F"/>
          </a:solidFill>
          <a:ln w="12700">
            <a:solidFill>
              <a:schemeClr val="tx1">
                <a:lumMod val="75000"/>
                <a:lumOff val="25000"/>
              </a:schemeClr>
            </a:solidFill>
          </a:ln>
          <a:effectLst/>
        </c:spPr>
        <c:marker>
          <c:symbol val="none"/>
        </c:marker>
        <c:dLbl>
          <c:idx val="0"/>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68350831146108"/>
          <c:y val="0.19432888597258677"/>
          <c:w val="0.78076093613298336"/>
          <c:h val="0.75474518810148727"/>
        </c:manualLayout>
      </c:layout>
      <c:barChart>
        <c:barDir val="bar"/>
        <c:grouping val="clustered"/>
        <c:varyColors val="0"/>
        <c:ser>
          <c:idx val="0"/>
          <c:order val="0"/>
          <c:tx>
            <c:strRef>
              <c:f>'Pivot Table 1'!$M$3</c:f>
              <c:strCache>
                <c:ptCount val="1"/>
                <c:pt idx="0">
                  <c:v>Total</c:v>
                </c:pt>
              </c:strCache>
            </c:strRef>
          </c:tx>
          <c:spPr>
            <a:solidFill>
              <a:srgbClr val="E07A5F"/>
            </a:solidFill>
            <a:ln w="12700">
              <a:solidFill>
                <a:schemeClr val="tx1">
                  <a:lumMod val="75000"/>
                  <a:lumOff val="25000"/>
                </a:schemeClr>
              </a:solidFill>
            </a:ln>
            <a:effectLst/>
          </c:spPr>
          <c:invertIfNegative val="0"/>
          <c:dLbls>
            <c:spPr>
              <a:no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1'!$L$4:$L$8</c:f>
              <c:strCache>
                <c:ptCount val="5"/>
                <c:pt idx="0">
                  <c:v>Beachside</c:v>
                </c:pt>
                <c:pt idx="1">
                  <c:v>Downtown</c:v>
                </c:pt>
                <c:pt idx="2">
                  <c:v>Midtown</c:v>
                </c:pt>
                <c:pt idx="3">
                  <c:v>Suburb</c:v>
                </c:pt>
                <c:pt idx="4">
                  <c:v>Uptown</c:v>
                </c:pt>
              </c:strCache>
            </c:strRef>
          </c:cat>
          <c:val>
            <c:numRef>
              <c:f>'Pivot Table 1'!$M$4:$M$8</c:f>
              <c:numCache>
                <c:formatCode>"₹"\ #,##0</c:formatCode>
                <c:ptCount val="5"/>
                <c:pt idx="0">
                  <c:v>58780</c:v>
                </c:pt>
                <c:pt idx="1">
                  <c:v>52760</c:v>
                </c:pt>
                <c:pt idx="2">
                  <c:v>67000</c:v>
                </c:pt>
                <c:pt idx="3">
                  <c:v>56967.5</c:v>
                </c:pt>
                <c:pt idx="4">
                  <c:v>67422.5</c:v>
                </c:pt>
              </c:numCache>
            </c:numRef>
          </c:val>
          <c:extLst>
            <c:ext xmlns:c16="http://schemas.microsoft.com/office/drawing/2014/chart" uri="{C3380CC4-5D6E-409C-BE32-E72D297353CC}">
              <c16:uniqueId val="{00000000-16EB-4F2D-8DD2-58D915AEBD82}"/>
            </c:ext>
          </c:extLst>
        </c:ser>
        <c:dLbls>
          <c:dLblPos val="outEnd"/>
          <c:showLegendKey val="0"/>
          <c:showVal val="1"/>
          <c:showCatName val="0"/>
          <c:showSerName val="0"/>
          <c:showPercent val="0"/>
          <c:showBubbleSize val="0"/>
        </c:dLbls>
        <c:gapWidth val="219"/>
        <c:axId val="1588901808"/>
        <c:axId val="1588906384"/>
      </c:barChart>
      <c:catAx>
        <c:axId val="1588901808"/>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588906384"/>
        <c:crosses val="autoZero"/>
        <c:auto val="1"/>
        <c:lblAlgn val="ctr"/>
        <c:lblOffset val="100"/>
        <c:noMultiLvlLbl val="0"/>
      </c:catAx>
      <c:valAx>
        <c:axId val="1588906384"/>
        <c:scaling>
          <c:orientation val="minMax"/>
        </c:scaling>
        <c:delete val="1"/>
        <c:axPos val="b"/>
        <c:numFmt formatCode="&quot;₹&quot;\ #,##0" sourceLinked="1"/>
        <c:majorTickMark val="none"/>
        <c:minorTickMark val="none"/>
        <c:tickLblPos val="nextTo"/>
        <c:crossAx val="158890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7"/>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1!TOP5_ITEMS_BY_REVENEUE_&amp;UNITS</c:name>
    <c:fmtId val="11"/>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US" sz="1100" b="1">
                <a:solidFill>
                  <a:schemeClr val="bg1"/>
                </a:solidFill>
              </a:rPr>
              <a:t>TOP</a:t>
            </a:r>
            <a:r>
              <a:rPr lang="en-US" sz="1100" b="1" baseline="0">
                <a:solidFill>
                  <a:schemeClr val="bg1"/>
                </a:solidFill>
              </a:rPr>
              <a:t> 5 ITEMS BY REVENEUE &amp; UNITS SOLD</a:t>
            </a:r>
            <a:endParaRPr lang="en-US" sz="1100" b="1">
              <a:solidFill>
                <a:schemeClr val="bg1"/>
              </a:solidFill>
            </a:endParaRPr>
          </a:p>
        </c:rich>
      </c:tx>
      <c:layout>
        <c:manualLayout>
          <c:xMode val="edge"/>
          <c:yMode val="edge"/>
          <c:x val="0.26535602404538144"/>
          <c:y val="2.3222064496389E-2"/>
        </c:manualLayout>
      </c:layout>
      <c:overlay val="0"/>
      <c:spPr>
        <a:solidFill>
          <a:srgbClr val="6B4E3D"/>
        </a:solidFill>
        <a:ln>
          <a:solidFill>
            <a:schemeClr val="tx1">
              <a:lumMod val="85000"/>
              <a:lumOff val="15000"/>
            </a:schemeClr>
          </a:solid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B4E3D"/>
          </a:solidFill>
          <a:ln w="12700">
            <a:solidFill>
              <a:srgbClr val="6B4E3D"/>
            </a:solidFill>
          </a:ln>
          <a:effectLst/>
        </c:spPr>
        <c:marker>
          <c:symbol val="none"/>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E07A5F"/>
            </a:solidFill>
            <a:round/>
          </a:ln>
          <a:effectLst/>
        </c:spPr>
        <c:marker>
          <c:symbol val="circle"/>
          <c:size val="8"/>
          <c:spPr>
            <a:solidFill>
              <a:srgbClr val="FFF8E7"/>
            </a:solidFill>
            <a:ln w="9525">
              <a:solidFill>
                <a:schemeClr val="accent2"/>
              </a:solidFill>
            </a:ln>
            <a:effectLst/>
          </c:spPr>
        </c:marker>
        <c:dLbl>
          <c:idx val="0"/>
          <c:spPr>
            <a:solidFill>
              <a:srgbClr val="FFF8E7"/>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4E3D"/>
          </a:solidFill>
          <a:ln w="12700">
            <a:solidFill>
              <a:srgbClr val="6B4E3D"/>
            </a:solidFill>
          </a:ln>
          <a:effectLst/>
        </c:spPr>
        <c:marker>
          <c:symbol val="none"/>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E07A5F"/>
            </a:solidFill>
            <a:round/>
          </a:ln>
          <a:effectLst/>
        </c:spPr>
        <c:marker>
          <c:symbol val="circle"/>
          <c:size val="8"/>
          <c:spPr>
            <a:solidFill>
              <a:srgbClr val="FFF8E7"/>
            </a:solidFill>
            <a:ln w="9525">
              <a:solidFill>
                <a:schemeClr val="accent2"/>
              </a:solidFill>
            </a:ln>
            <a:effectLst/>
          </c:spPr>
        </c:marker>
        <c:dLbl>
          <c:idx val="0"/>
          <c:spPr>
            <a:solidFill>
              <a:srgbClr val="FFF8E7"/>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B4E3D"/>
          </a:solidFill>
          <a:ln w="12700">
            <a:solidFill>
              <a:srgbClr val="6B4E3D"/>
            </a:solidFill>
          </a:ln>
          <a:effectLst/>
        </c:spPr>
        <c:marker>
          <c:symbol val="none"/>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rgbClr val="E07A5F"/>
            </a:solidFill>
            <a:round/>
          </a:ln>
          <a:effectLst/>
        </c:spPr>
        <c:marker>
          <c:symbol val="circle"/>
          <c:size val="8"/>
          <c:spPr>
            <a:solidFill>
              <a:srgbClr val="FFF8E7"/>
            </a:solidFill>
            <a:ln w="9525">
              <a:solidFill>
                <a:schemeClr val="accent2"/>
              </a:solidFill>
            </a:ln>
            <a:effectLst/>
          </c:spPr>
        </c:marker>
        <c:dLbl>
          <c:idx val="0"/>
          <c:spPr>
            <a:solidFill>
              <a:srgbClr val="FFF8E7"/>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42439270595199"/>
          <c:y val="0.29901879740611809"/>
          <c:w val="0.66104909353004759"/>
          <c:h val="0.54744399402971666"/>
        </c:manualLayout>
      </c:layout>
      <c:barChart>
        <c:barDir val="col"/>
        <c:grouping val="clustered"/>
        <c:varyColors val="0"/>
        <c:ser>
          <c:idx val="0"/>
          <c:order val="0"/>
          <c:tx>
            <c:strRef>
              <c:f>'Pivot Table 1'!$S$3</c:f>
              <c:strCache>
                <c:ptCount val="1"/>
                <c:pt idx="0">
                  <c:v>Sum of Total Reveneue</c:v>
                </c:pt>
              </c:strCache>
            </c:strRef>
          </c:tx>
          <c:spPr>
            <a:solidFill>
              <a:srgbClr val="6B4E3D"/>
            </a:solidFill>
            <a:ln w="12700">
              <a:solidFill>
                <a:srgbClr val="6B4E3D"/>
              </a:solidFill>
            </a:ln>
            <a:effectLst/>
          </c:spPr>
          <c:invertIfNegative val="0"/>
          <c:dLbls>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1'!$R$4:$R$8</c:f>
              <c:strCache>
                <c:ptCount val="5"/>
                <c:pt idx="0">
                  <c:v>Cupcake</c:v>
                </c:pt>
                <c:pt idx="1">
                  <c:v>Smoothie</c:v>
                </c:pt>
                <c:pt idx="2">
                  <c:v>Donut</c:v>
                </c:pt>
                <c:pt idx="3">
                  <c:v>Cookie</c:v>
                </c:pt>
                <c:pt idx="4">
                  <c:v>Tiramisu</c:v>
                </c:pt>
              </c:strCache>
            </c:strRef>
          </c:cat>
          <c:val>
            <c:numRef>
              <c:f>'Pivot Table 1'!$S$4:$S$8</c:f>
              <c:numCache>
                <c:formatCode>"₹"\ #,##0</c:formatCode>
                <c:ptCount val="5"/>
                <c:pt idx="0">
                  <c:v>21747.5</c:v>
                </c:pt>
                <c:pt idx="1">
                  <c:v>16810</c:v>
                </c:pt>
                <c:pt idx="2">
                  <c:v>17430</c:v>
                </c:pt>
                <c:pt idx="3">
                  <c:v>17970</c:v>
                </c:pt>
                <c:pt idx="4">
                  <c:v>17670</c:v>
                </c:pt>
              </c:numCache>
            </c:numRef>
          </c:val>
          <c:extLst>
            <c:ext xmlns:c16="http://schemas.microsoft.com/office/drawing/2014/chart" uri="{C3380CC4-5D6E-409C-BE32-E72D297353CC}">
              <c16:uniqueId val="{00000000-3E9B-4C8A-AFA1-5FEB6171F780}"/>
            </c:ext>
          </c:extLst>
        </c:ser>
        <c:dLbls>
          <c:dLblPos val="ctr"/>
          <c:showLegendKey val="0"/>
          <c:showVal val="1"/>
          <c:showCatName val="0"/>
          <c:showSerName val="0"/>
          <c:showPercent val="0"/>
          <c:showBubbleSize val="0"/>
        </c:dLbls>
        <c:gapWidth val="219"/>
        <c:overlap val="-27"/>
        <c:axId val="1600581760"/>
        <c:axId val="1600597152"/>
      </c:barChart>
      <c:lineChart>
        <c:grouping val="standard"/>
        <c:varyColors val="0"/>
        <c:ser>
          <c:idx val="1"/>
          <c:order val="1"/>
          <c:tx>
            <c:strRef>
              <c:f>'Pivot Table 1'!$T$3</c:f>
              <c:strCache>
                <c:ptCount val="1"/>
                <c:pt idx="0">
                  <c:v>Sum of Unit Sold </c:v>
                </c:pt>
              </c:strCache>
            </c:strRef>
          </c:tx>
          <c:spPr>
            <a:ln w="31750" cap="rnd">
              <a:solidFill>
                <a:srgbClr val="E07A5F"/>
              </a:solidFill>
              <a:round/>
            </a:ln>
            <a:effectLst/>
          </c:spPr>
          <c:marker>
            <c:symbol val="circle"/>
            <c:size val="8"/>
            <c:spPr>
              <a:solidFill>
                <a:srgbClr val="FFF8E7"/>
              </a:solidFill>
              <a:ln w="9525">
                <a:solidFill>
                  <a:schemeClr val="accent2"/>
                </a:solidFill>
              </a:ln>
              <a:effectLst/>
            </c:spPr>
          </c:marker>
          <c:dLbls>
            <c:spPr>
              <a:solidFill>
                <a:srgbClr val="FFF8E7"/>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1'!$R$4:$R$8</c:f>
              <c:strCache>
                <c:ptCount val="5"/>
                <c:pt idx="0">
                  <c:v>Cupcake</c:v>
                </c:pt>
                <c:pt idx="1">
                  <c:v>Smoothie</c:v>
                </c:pt>
                <c:pt idx="2">
                  <c:v>Donut</c:v>
                </c:pt>
                <c:pt idx="3">
                  <c:v>Cookie</c:v>
                </c:pt>
                <c:pt idx="4">
                  <c:v>Tiramisu</c:v>
                </c:pt>
              </c:strCache>
            </c:strRef>
          </c:cat>
          <c:val>
            <c:numRef>
              <c:f>'Pivot Table 1'!$T$4:$T$8</c:f>
              <c:numCache>
                <c:formatCode>General</c:formatCode>
                <c:ptCount val="5"/>
                <c:pt idx="0">
                  <c:v>158</c:v>
                </c:pt>
                <c:pt idx="1">
                  <c:v>137</c:v>
                </c:pt>
                <c:pt idx="2">
                  <c:v>126</c:v>
                </c:pt>
                <c:pt idx="3">
                  <c:v>123</c:v>
                </c:pt>
                <c:pt idx="4">
                  <c:v>114</c:v>
                </c:pt>
              </c:numCache>
            </c:numRef>
          </c:val>
          <c:smooth val="0"/>
          <c:extLst>
            <c:ext xmlns:c16="http://schemas.microsoft.com/office/drawing/2014/chart" uri="{C3380CC4-5D6E-409C-BE32-E72D297353CC}">
              <c16:uniqueId val="{00000001-3E9B-4C8A-AFA1-5FEB6171F780}"/>
            </c:ext>
          </c:extLst>
        </c:ser>
        <c:dLbls>
          <c:dLblPos val="ctr"/>
          <c:showLegendKey val="0"/>
          <c:showVal val="1"/>
          <c:showCatName val="0"/>
          <c:showSerName val="0"/>
          <c:showPercent val="0"/>
          <c:showBubbleSize val="0"/>
        </c:dLbls>
        <c:marker val="1"/>
        <c:smooth val="0"/>
        <c:axId val="1600582592"/>
        <c:axId val="1600596320"/>
      </c:lineChart>
      <c:catAx>
        <c:axId val="1600581760"/>
        <c:scaling>
          <c:orientation val="minMax"/>
        </c:scaling>
        <c:delete val="0"/>
        <c:axPos val="b"/>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1050" b="1" i="0" u="none" strike="noStrike" kern="1200" baseline="0">
                <a:ln>
                  <a:noFill/>
                </a:ln>
                <a:solidFill>
                  <a:srgbClr val="6B4E3D"/>
                </a:solidFill>
                <a:latin typeface="+mn-lt"/>
                <a:ea typeface="+mn-ea"/>
                <a:cs typeface="+mn-cs"/>
              </a:defRPr>
            </a:pPr>
            <a:endParaRPr lang="en-US"/>
          </a:p>
        </c:txPr>
        <c:crossAx val="1600597152"/>
        <c:crosses val="autoZero"/>
        <c:auto val="1"/>
        <c:lblAlgn val="ctr"/>
        <c:lblOffset val="100"/>
        <c:noMultiLvlLbl val="0"/>
      </c:catAx>
      <c:valAx>
        <c:axId val="1600597152"/>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6B4E3D"/>
                    </a:solidFill>
                    <a:latin typeface="+mn-lt"/>
                    <a:ea typeface="+mn-ea"/>
                    <a:cs typeface="+mn-cs"/>
                  </a:defRPr>
                </a:pPr>
                <a:r>
                  <a:rPr lang="en-US" sz="1000" b="1">
                    <a:solidFill>
                      <a:srgbClr val="6B4E3D"/>
                    </a:solidFill>
                  </a:rPr>
                  <a:t>REVENEUE</a:t>
                </a:r>
                <a:r>
                  <a:rPr lang="en-US" sz="1000" b="1" baseline="0">
                    <a:solidFill>
                      <a:srgbClr val="6B4E3D"/>
                    </a:solidFill>
                  </a:rPr>
                  <a:t> IN RUPESS</a:t>
                </a:r>
                <a:endParaRPr lang="en-US" sz="1000" b="1">
                  <a:solidFill>
                    <a:srgbClr val="6B4E3D"/>
                  </a:solidFill>
                </a:endParaRPr>
              </a:p>
            </c:rich>
          </c:tx>
          <c:layout>
            <c:manualLayout>
              <c:xMode val="edge"/>
              <c:yMode val="edge"/>
              <c:x val="1.5954830242993819E-2"/>
              <c:y val="0.19821630847557972"/>
            </c:manualLayout>
          </c:layout>
          <c:overlay val="0"/>
          <c:spPr>
            <a:solidFill>
              <a:srgbClr val="FDF0BB"/>
            </a:solidFill>
            <a:ln>
              <a:solidFill>
                <a:srgbClr val="6B4E3D"/>
              </a:solidFill>
            </a:ln>
            <a:effectLst/>
          </c:spPr>
          <c:txPr>
            <a:bodyPr rot="-54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title>
        <c:numFmt formatCode="&quot;₹&quot;\ #,##0" sourceLinked="1"/>
        <c:majorTickMark val="none"/>
        <c:minorTickMark val="none"/>
        <c:tickLblPos val="nextTo"/>
        <c:spPr>
          <a:noFill/>
          <a:ln>
            <a:solidFill>
              <a:srgbClr val="6B4E3D"/>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00581760"/>
        <c:crosses val="autoZero"/>
        <c:crossBetween val="between"/>
      </c:valAx>
      <c:valAx>
        <c:axId val="1600596320"/>
        <c:scaling>
          <c:orientation val="minMax"/>
        </c:scaling>
        <c:delete val="0"/>
        <c:axPos val="r"/>
        <c:title>
          <c:tx>
            <c:rich>
              <a:bodyPr rot="-5400000" spcFirstLastPara="1" vertOverflow="ellipsis" vert="horz" wrap="square" anchor="ctr" anchorCtr="1"/>
              <a:lstStyle/>
              <a:p>
                <a:pPr>
                  <a:defRPr sz="900" b="1" i="0" u="none" strike="noStrike" kern="1200" baseline="0">
                    <a:solidFill>
                      <a:srgbClr val="6B4E3D"/>
                    </a:solidFill>
                    <a:latin typeface="+mn-lt"/>
                    <a:ea typeface="+mn-ea"/>
                    <a:cs typeface="+mn-cs"/>
                  </a:defRPr>
                </a:pPr>
                <a:r>
                  <a:rPr lang="en-US" sz="900" b="1">
                    <a:solidFill>
                      <a:srgbClr val="6B4E3D"/>
                    </a:solidFill>
                  </a:rPr>
                  <a:t>QYT</a:t>
                </a:r>
                <a:r>
                  <a:rPr lang="en-US" sz="900" b="1" baseline="0">
                    <a:solidFill>
                      <a:srgbClr val="6B4E3D"/>
                    </a:solidFill>
                  </a:rPr>
                  <a:t> SOLD</a:t>
                </a:r>
                <a:endParaRPr lang="en-US" sz="900" b="1">
                  <a:solidFill>
                    <a:srgbClr val="6B4E3D"/>
                  </a:solidFill>
                </a:endParaRPr>
              </a:p>
            </c:rich>
          </c:tx>
          <c:layout>
            <c:manualLayout>
              <c:xMode val="edge"/>
              <c:yMode val="edge"/>
              <c:x val="0.94441685716704771"/>
              <c:y val="0.34082901779402019"/>
            </c:manualLayout>
          </c:layout>
          <c:overlay val="0"/>
          <c:spPr>
            <a:solidFill>
              <a:srgbClr val="FDF0BB"/>
            </a:solidFill>
            <a:ln>
              <a:solidFill>
                <a:srgbClr val="6B4E3D"/>
              </a:solidFill>
            </a:ln>
            <a:effectLst/>
          </c:spPr>
          <c:txPr>
            <a:bodyPr rot="-5400000" spcFirstLastPara="1" vertOverflow="ellipsis" vert="horz" wrap="square" anchor="ctr" anchorCtr="1"/>
            <a:lstStyle/>
            <a:p>
              <a:pPr>
                <a:defRPr sz="900" b="1" i="0" u="none" strike="noStrike" kern="1200" baseline="0">
                  <a:solidFill>
                    <a:srgbClr val="6B4E3D"/>
                  </a:solidFill>
                  <a:latin typeface="+mn-lt"/>
                  <a:ea typeface="+mn-ea"/>
                  <a:cs typeface="+mn-cs"/>
                </a:defRPr>
              </a:pPr>
              <a:endParaRPr lang="en-US"/>
            </a:p>
          </c:txPr>
        </c:title>
        <c:numFmt formatCode="General" sourceLinked="1"/>
        <c:majorTickMark val="out"/>
        <c:minorTickMark val="none"/>
        <c:tickLblPos val="nextTo"/>
        <c:spPr>
          <a:noFill/>
          <a:ln>
            <a:solidFill>
              <a:srgbClr val="6B4E3D"/>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00582592"/>
        <c:crosses val="max"/>
        <c:crossBetween val="between"/>
      </c:valAx>
      <c:catAx>
        <c:axId val="1600582592"/>
        <c:scaling>
          <c:orientation val="minMax"/>
        </c:scaling>
        <c:delete val="1"/>
        <c:axPos val="b"/>
        <c:numFmt formatCode="General" sourceLinked="1"/>
        <c:majorTickMark val="out"/>
        <c:minorTickMark val="none"/>
        <c:tickLblPos val="nextTo"/>
        <c:crossAx val="16005963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1!BOTTOM5_ITEMS</c:name>
    <c:fmtId val="10"/>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US" sz="1050" b="1">
                <a:solidFill>
                  <a:schemeClr val="bg1"/>
                </a:solidFill>
              </a:rPr>
              <a:t>BOTTOM</a:t>
            </a:r>
            <a:r>
              <a:rPr lang="en-US" sz="1050" b="1" baseline="0">
                <a:solidFill>
                  <a:schemeClr val="bg1"/>
                </a:solidFill>
              </a:rPr>
              <a:t> 5 ITMS BY REVENEUE &amp; UNITS SOLD</a:t>
            </a:r>
            <a:endParaRPr lang="en-US" sz="1050" b="1">
              <a:solidFill>
                <a:schemeClr val="bg1"/>
              </a:solidFill>
            </a:endParaRPr>
          </a:p>
        </c:rich>
      </c:tx>
      <c:layout>
        <c:manualLayout>
          <c:xMode val="edge"/>
          <c:yMode val="edge"/>
          <c:x val="0.28286479250334673"/>
          <c:y val="1.5414258188824663E-2"/>
        </c:manualLayout>
      </c:layout>
      <c:overlay val="0"/>
      <c:spPr>
        <a:solidFill>
          <a:srgbClr val="6B4E3D"/>
        </a:solidFill>
        <a:ln>
          <a:solidFill>
            <a:schemeClr val="bg1">
              <a:lumMod val="50000"/>
            </a:schemeClr>
          </a:solid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B4E3D"/>
          </a:solidFill>
          <a:ln>
            <a:solidFill>
              <a:schemeClr val="bg1">
                <a:lumMod val="50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E07A5F"/>
            </a:solidFill>
            <a:round/>
          </a:ln>
          <a:effectLst/>
        </c:spPr>
        <c:marker>
          <c:symbol val="circle"/>
          <c:size val="8"/>
          <c:spPr>
            <a:solidFill>
              <a:schemeClr val="bg1"/>
            </a:solidFill>
            <a:ln w="9525">
              <a:solidFill>
                <a:schemeClr val="accent2"/>
              </a:solidFill>
            </a:ln>
            <a:effectLst/>
          </c:spPr>
        </c:marker>
        <c:dLbl>
          <c:idx val="0"/>
          <c:spPr>
            <a:solidFill>
              <a:schemeClr val="bg1"/>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4E3D"/>
          </a:solidFill>
          <a:ln>
            <a:solidFill>
              <a:schemeClr val="bg1">
                <a:lumMod val="50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E07A5F"/>
            </a:solidFill>
            <a:round/>
          </a:ln>
          <a:effectLst/>
        </c:spPr>
        <c:marker>
          <c:symbol val="circle"/>
          <c:size val="8"/>
          <c:spPr>
            <a:solidFill>
              <a:schemeClr val="bg1"/>
            </a:solidFill>
            <a:ln w="9525">
              <a:solidFill>
                <a:schemeClr val="accent2"/>
              </a:solidFill>
            </a:ln>
            <a:effectLst/>
          </c:spPr>
        </c:marker>
        <c:dLbl>
          <c:idx val="0"/>
          <c:spPr>
            <a:solidFill>
              <a:schemeClr val="bg1"/>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B4E3D"/>
          </a:solidFill>
          <a:ln>
            <a:solidFill>
              <a:schemeClr val="bg1">
                <a:lumMod val="50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rgbClr val="E07A5F"/>
            </a:solidFill>
            <a:round/>
          </a:ln>
          <a:effectLst/>
        </c:spPr>
        <c:marker>
          <c:symbol val="circle"/>
          <c:size val="8"/>
          <c:spPr>
            <a:solidFill>
              <a:schemeClr val="bg1"/>
            </a:solidFill>
            <a:ln w="9525">
              <a:solidFill>
                <a:schemeClr val="accent2"/>
              </a:solidFill>
            </a:ln>
            <a:effectLst/>
          </c:spPr>
        </c:marker>
        <c:dLbl>
          <c:idx val="0"/>
          <c:spPr>
            <a:solidFill>
              <a:schemeClr val="bg1"/>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88644341144107"/>
          <c:y val="0.27661735924627917"/>
          <c:w val="0.66413918139750605"/>
          <c:h val="0.56884195833902262"/>
        </c:manualLayout>
      </c:layout>
      <c:barChart>
        <c:barDir val="col"/>
        <c:grouping val="clustered"/>
        <c:varyColors val="0"/>
        <c:ser>
          <c:idx val="0"/>
          <c:order val="0"/>
          <c:tx>
            <c:strRef>
              <c:f>'Pivot Table 1'!$W$3</c:f>
              <c:strCache>
                <c:ptCount val="1"/>
                <c:pt idx="0">
                  <c:v>Sum of Total Reveneue</c:v>
                </c:pt>
              </c:strCache>
            </c:strRef>
          </c:tx>
          <c:spPr>
            <a:solidFill>
              <a:srgbClr val="6B4E3D"/>
            </a:solidFill>
            <a:ln>
              <a:solidFill>
                <a:schemeClr val="bg1">
                  <a:lumMod val="50000"/>
                </a:schemeClr>
              </a:solidFill>
            </a:ln>
            <a:effectLst/>
          </c:spPr>
          <c:invertIfNegative val="0"/>
          <c:dLbls>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1'!$V$4:$V$8</c:f>
              <c:strCache>
                <c:ptCount val="5"/>
                <c:pt idx="0">
                  <c:v>Herbal Tea</c:v>
                </c:pt>
                <c:pt idx="1">
                  <c:v>Sandwich</c:v>
                </c:pt>
                <c:pt idx="2">
                  <c:v>Mocha</c:v>
                </c:pt>
                <c:pt idx="3">
                  <c:v>Espresso</c:v>
                </c:pt>
                <c:pt idx="4">
                  <c:v>Muffin</c:v>
                </c:pt>
              </c:strCache>
            </c:strRef>
          </c:cat>
          <c:val>
            <c:numRef>
              <c:f>'Pivot Table 1'!$W$4:$W$8</c:f>
              <c:numCache>
                <c:formatCode>"₹"\ #,##0</c:formatCode>
                <c:ptCount val="5"/>
                <c:pt idx="0">
                  <c:v>9502.5</c:v>
                </c:pt>
                <c:pt idx="1">
                  <c:v>8532.5</c:v>
                </c:pt>
                <c:pt idx="2">
                  <c:v>5170</c:v>
                </c:pt>
                <c:pt idx="3">
                  <c:v>5427.5</c:v>
                </c:pt>
                <c:pt idx="4">
                  <c:v>4370</c:v>
                </c:pt>
              </c:numCache>
            </c:numRef>
          </c:val>
          <c:extLst>
            <c:ext xmlns:c16="http://schemas.microsoft.com/office/drawing/2014/chart" uri="{C3380CC4-5D6E-409C-BE32-E72D297353CC}">
              <c16:uniqueId val="{00000000-06E0-4F2D-AE9A-9506C93A6388}"/>
            </c:ext>
          </c:extLst>
        </c:ser>
        <c:dLbls>
          <c:dLblPos val="ctr"/>
          <c:showLegendKey val="0"/>
          <c:showVal val="1"/>
          <c:showCatName val="0"/>
          <c:showSerName val="0"/>
          <c:showPercent val="0"/>
          <c:showBubbleSize val="0"/>
        </c:dLbls>
        <c:gapWidth val="219"/>
        <c:overlap val="-27"/>
        <c:axId val="1603524960"/>
        <c:axId val="1603524544"/>
      </c:barChart>
      <c:lineChart>
        <c:grouping val="standard"/>
        <c:varyColors val="0"/>
        <c:ser>
          <c:idx val="1"/>
          <c:order val="1"/>
          <c:tx>
            <c:strRef>
              <c:f>'Pivot Table 1'!$X$3</c:f>
              <c:strCache>
                <c:ptCount val="1"/>
                <c:pt idx="0">
                  <c:v>Sum of Unit Sold </c:v>
                </c:pt>
              </c:strCache>
            </c:strRef>
          </c:tx>
          <c:spPr>
            <a:ln w="31750" cap="rnd">
              <a:solidFill>
                <a:srgbClr val="E07A5F"/>
              </a:solidFill>
              <a:round/>
            </a:ln>
            <a:effectLst/>
          </c:spPr>
          <c:marker>
            <c:symbol val="circle"/>
            <c:size val="8"/>
            <c:spPr>
              <a:solidFill>
                <a:schemeClr val="bg1"/>
              </a:solidFill>
              <a:ln w="9525">
                <a:solidFill>
                  <a:schemeClr val="accent2"/>
                </a:solidFill>
              </a:ln>
              <a:effectLst/>
            </c:spPr>
          </c:marker>
          <c:dLbls>
            <c:spPr>
              <a:solidFill>
                <a:schemeClr val="bg1"/>
              </a:solidFill>
              <a:ln>
                <a:solidFill>
                  <a:srgbClr val="E07A5F"/>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1'!$V$4:$V$8</c:f>
              <c:strCache>
                <c:ptCount val="5"/>
                <c:pt idx="0">
                  <c:v>Herbal Tea</c:v>
                </c:pt>
                <c:pt idx="1">
                  <c:v>Sandwich</c:v>
                </c:pt>
                <c:pt idx="2">
                  <c:v>Mocha</c:v>
                </c:pt>
                <c:pt idx="3">
                  <c:v>Espresso</c:v>
                </c:pt>
                <c:pt idx="4">
                  <c:v>Muffin</c:v>
                </c:pt>
              </c:strCache>
            </c:strRef>
          </c:cat>
          <c:val>
            <c:numRef>
              <c:f>'Pivot Table 1'!$X$4:$X$8</c:f>
              <c:numCache>
                <c:formatCode>General</c:formatCode>
                <c:ptCount val="5"/>
                <c:pt idx="0">
                  <c:v>72</c:v>
                </c:pt>
                <c:pt idx="1">
                  <c:v>72</c:v>
                </c:pt>
                <c:pt idx="2">
                  <c:v>43</c:v>
                </c:pt>
                <c:pt idx="3">
                  <c:v>39</c:v>
                </c:pt>
                <c:pt idx="4">
                  <c:v>37</c:v>
                </c:pt>
              </c:numCache>
            </c:numRef>
          </c:val>
          <c:smooth val="0"/>
          <c:extLst>
            <c:ext xmlns:c16="http://schemas.microsoft.com/office/drawing/2014/chart" uri="{C3380CC4-5D6E-409C-BE32-E72D297353CC}">
              <c16:uniqueId val="{00000001-06E0-4F2D-AE9A-9506C93A6388}"/>
            </c:ext>
          </c:extLst>
        </c:ser>
        <c:dLbls>
          <c:dLblPos val="ctr"/>
          <c:showLegendKey val="0"/>
          <c:showVal val="1"/>
          <c:showCatName val="0"/>
          <c:showSerName val="0"/>
          <c:showPercent val="0"/>
          <c:showBubbleSize val="0"/>
        </c:dLbls>
        <c:marker val="1"/>
        <c:smooth val="0"/>
        <c:axId val="1603530784"/>
        <c:axId val="1603531200"/>
      </c:lineChart>
      <c:catAx>
        <c:axId val="1603524960"/>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03524544"/>
        <c:crosses val="autoZero"/>
        <c:auto val="1"/>
        <c:lblAlgn val="ctr"/>
        <c:lblOffset val="100"/>
        <c:noMultiLvlLbl val="0"/>
      </c:catAx>
      <c:valAx>
        <c:axId val="160352454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t>REVENEUE</a:t>
                </a:r>
                <a:r>
                  <a:rPr lang="en-US" sz="1000" b="1" baseline="0"/>
                  <a:t> IN RUPESS</a:t>
                </a:r>
                <a:endParaRPr lang="en-US" sz="1000" b="1"/>
              </a:p>
            </c:rich>
          </c:tx>
          <c:layout>
            <c:manualLayout>
              <c:xMode val="edge"/>
              <c:yMode val="edge"/>
              <c:x val="2.6704195823317831E-2"/>
              <c:y val="0.17693140958536255"/>
            </c:manualLayout>
          </c:layout>
          <c:overlay val="0"/>
          <c:spPr>
            <a:solidFill>
              <a:srgbClr val="FDF0BB"/>
            </a:solid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03524960"/>
        <c:crosses val="autoZero"/>
        <c:crossBetween val="between"/>
      </c:valAx>
      <c:valAx>
        <c:axId val="1603531200"/>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6B4E3D"/>
                    </a:solidFill>
                    <a:latin typeface="+mn-lt"/>
                    <a:ea typeface="+mn-ea"/>
                    <a:cs typeface="+mn-cs"/>
                  </a:defRPr>
                </a:pPr>
                <a:r>
                  <a:rPr lang="en-US" sz="1000" b="1">
                    <a:solidFill>
                      <a:srgbClr val="6B4E3D"/>
                    </a:solidFill>
                  </a:rPr>
                  <a:t>QYT</a:t>
                </a:r>
                <a:r>
                  <a:rPr lang="en-US" sz="1000" b="1" baseline="0">
                    <a:solidFill>
                      <a:srgbClr val="6B4E3D"/>
                    </a:solidFill>
                  </a:rPr>
                  <a:t> SOLD</a:t>
                </a:r>
                <a:endParaRPr lang="en-US" sz="1000" b="1">
                  <a:solidFill>
                    <a:srgbClr val="6B4E3D"/>
                  </a:solidFill>
                </a:endParaRPr>
              </a:p>
            </c:rich>
          </c:tx>
          <c:layout>
            <c:manualLayout>
              <c:xMode val="edge"/>
              <c:yMode val="edge"/>
              <c:x val="0.94231919805205078"/>
              <c:y val="0.39148938752598123"/>
            </c:manualLayout>
          </c:layout>
          <c:overlay val="0"/>
          <c:spPr>
            <a:solidFill>
              <a:srgbClr val="FDF0BB"/>
            </a:solidFill>
            <a:ln>
              <a:solidFill>
                <a:schemeClr val="bg1">
                  <a:lumMod val="50000"/>
                </a:schemeClr>
              </a:solidFill>
            </a:ln>
            <a:effectLst/>
          </c:spPr>
          <c:txPr>
            <a:bodyPr rot="-54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title>
        <c:numFmt formatCode="General" sourceLinked="1"/>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03530784"/>
        <c:crosses val="max"/>
        <c:crossBetween val="between"/>
      </c:valAx>
      <c:catAx>
        <c:axId val="1603530784"/>
        <c:scaling>
          <c:orientation val="minMax"/>
        </c:scaling>
        <c:delete val="1"/>
        <c:axPos val="b"/>
        <c:numFmt formatCode="General" sourceLinked="1"/>
        <c:majorTickMark val="out"/>
        <c:minorTickMark val="none"/>
        <c:tickLblPos val="nextTo"/>
        <c:crossAx val="160353120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1!PivotTable11</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TOTAL</a:t>
            </a:r>
            <a:r>
              <a:rPr lang="en-US" sz="1400" b="1" baseline="0">
                <a:solidFill>
                  <a:schemeClr val="bg1"/>
                </a:solidFill>
              </a:rPr>
              <a:t> REVENEUE BY PRODUCT CATEGORY</a:t>
            </a:r>
            <a:endParaRPr lang="en-US" sz="1400" b="1">
              <a:solidFill>
                <a:schemeClr val="bg1"/>
              </a:solidFill>
            </a:endParaRPr>
          </a:p>
        </c:rich>
      </c:tx>
      <c:layout>
        <c:manualLayout>
          <c:xMode val="edge"/>
          <c:yMode val="edge"/>
          <c:x val="0.19461985284626307"/>
          <c:y val="2.7777802562215133E-2"/>
        </c:manualLayout>
      </c:layout>
      <c:overlay val="0"/>
      <c:spPr>
        <a:solidFill>
          <a:srgbClr val="6B4E3D"/>
        </a:solidFill>
        <a:ln>
          <a:solidFill>
            <a:schemeClr val="bg1">
              <a:lumMod val="50000"/>
            </a:schemeClr>
          </a:soli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8E7"/>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8E7"/>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solidFill>
              <a:srgbClr val="FFF8E7"/>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20848696943185133"/>
          <c:y val="0.1385633453042166"/>
          <c:w val="0.61478300060977231"/>
          <c:h val="0.83877376517736979"/>
        </c:manualLayout>
      </c:layout>
      <c:doughnutChart>
        <c:varyColors val="1"/>
        <c:ser>
          <c:idx val="0"/>
          <c:order val="0"/>
          <c:tx>
            <c:strRef>
              <c:f>'Pivot Table 1'!$AA$3</c:f>
              <c:strCache>
                <c:ptCount val="1"/>
                <c:pt idx="0">
                  <c:v>Total</c:v>
                </c:pt>
              </c:strCache>
            </c:strRef>
          </c:tx>
          <c:explosion val="5"/>
          <c:dPt>
            <c:idx val="0"/>
            <c:bubble3D val="0"/>
            <c:spPr>
              <a:solidFill>
                <a:schemeClr val="accent1"/>
              </a:solidFill>
              <a:ln>
                <a:noFill/>
              </a:ln>
              <a:effectLst/>
            </c:spPr>
            <c:extLst>
              <c:ext xmlns:c16="http://schemas.microsoft.com/office/drawing/2014/chart" uri="{C3380CC4-5D6E-409C-BE32-E72D297353CC}">
                <c16:uniqueId val="{00000001-BDAC-4CB4-A899-FD341AF285C0}"/>
              </c:ext>
            </c:extLst>
          </c:dPt>
          <c:dPt>
            <c:idx val="1"/>
            <c:bubble3D val="0"/>
            <c:spPr>
              <a:solidFill>
                <a:schemeClr val="accent2"/>
              </a:solidFill>
              <a:ln>
                <a:noFill/>
              </a:ln>
              <a:effectLst/>
            </c:spPr>
            <c:extLst>
              <c:ext xmlns:c16="http://schemas.microsoft.com/office/drawing/2014/chart" uri="{C3380CC4-5D6E-409C-BE32-E72D297353CC}">
                <c16:uniqueId val="{00000003-BDAC-4CB4-A899-FD341AF285C0}"/>
              </c:ext>
            </c:extLst>
          </c:dPt>
          <c:dPt>
            <c:idx val="2"/>
            <c:bubble3D val="0"/>
            <c:spPr>
              <a:solidFill>
                <a:schemeClr val="accent3"/>
              </a:solidFill>
              <a:ln>
                <a:noFill/>
              </a:ln>
              <a:effectLst/>
            </c:spPr>
            <c:extLst>
              <c:ext xmlns:c16="http://schemas.microsoft.com/office/drawing/2014/chart" uri="{C3380CC4-5D6E-409C-BE32-E72D297353CC}">
                <c16:uniqueId val="{00000005-BDAC-4CB4-A899-FD341AF285C0}"/>
              </c:ext>
            </c:extLst>
          </c:dPt>
          <c:dPt>
            <c:idx val="3"/>
            <c:bubble3D val="0"/>
            <c:spPr>
              <a:solidFill>
                <a:schemeClr val="accent4"/>
              </a:solidFill>
              <a:ln>
                <a:noFill/>
              </a:ln>
              <a:effectLst/>
            </c:spPr>
            <c:extLst>
              <c:ext xmlns:c16="http://schemas.microsoft.com/office/drawing/2014/chart" uri="{C3380CC4-5D6E-409C-BE32-E72D297353CC}">
                <c16:uniqueId val="{00000007-BDAC-4CB4-A899-FD341AF285C0}"/>
              </c:ext>
            </c:extLst>
          </c:dPt>
          <c:dPt>
            <c:idx val="4"/>
            <c:bubble3D val="0"/>
            <c:spPr>
              <a:solidFill>
                <a:schemeClr val="accent5"/>
              </a:solidFill>
              <a:ln>
                <a:noFill/>
              </a:ln>
              <a:effectLst/>
            </c:spPr>
            <c:extLst>
              <c:ext xmlns:c16="http://schemas.microsoft.com/office/drawing/2014/chart" uri="{C3380CC4-5D6E-409C-BE32-E72D297353CC}">
                <c16:uniqueId val="{00000009-BDAC-4CB4-A899-FD341AF285C0}"/>
              </c:ext>
            </c:extLst>
          </c:dPt>
          <c:dLbls>
            <c:spPr>
              <a:solidFill>
                <a:srgbClr val="FFF8E7"/>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1'!$Z$4:$Z$8</c:f>
              <c:strCache>
                <c:ptCount val="5"/>
                <c:pt idx="0">
                  <c:v>Coffee</c:v>
                </c:pt>
                <c:pt idx="1">
                  <c:v>Cold Beverages</c:v>
                </c:pt>
                <c:pt idx="2">
                  <c:v>Desserts</c:v>
                </c:pt>
                <c:pt idx="3">
                  <c:v>Snacks</c:v>
                </c:pt>
                <c:pt idx="4">
                  <c:v>Tea</c:v>
                </c:pt>
              </c:strCache>
            </c:strRef>
          </c:cat>
          <c:val>
            <c:numRef>
              <c:f>'Pivot Table 1'!$AA$4:$AA$8</c:f>
              <c:numCache>
                <c:formatCode>"₹"\ #,##0</c:formatCode>
                <c:ptCount val="5"/>
                <c:pt idx="0">
                  <c:v>53187.5</c:v>
                </c:pt>
                <c:pt idx="1">
                  <c:v>61090</c:v>
                </c:pt>
                <c:pt idx="2">
                  <c:v>68732.5</c:v>
                </c:pt>
                <c:pt idx="3">
                  <c:v>56897.5</c:v>
                </c:pt>
                <c:pt idx="4">
                  <c:v>63022.5</c:v>
                </c:pt>
              </c:numCache>
            </c:numRef>
          </c:val>
          <c:extLst>
            <c:ext xmlns:c16="http://schemas.microsoft.com/office/drawing/2014/chart" uri="{C3380CC4-5D6E-409C-BE32-E72D297353CC}">
              <c16:uniqueId val="{0000000A-BDAC-4CB4-A899-FD341AF285C0}"/>
            </c:ext>
          </c:extLst>
        </c:ser>
        <c:dLbls>
          <c:showLegendKey val="0"/>
          <c:showVal val="1"/>
          <c:showCatName val="0"/>
          <c:showSerName val="0"/>
          <c:showPercent val="0"/>
          <c:showBubbleSize val="0"/>
          <c:showLeaderLines val="0"/>
        </c:dLbls>
        <c:firstSliceAng val="3"/>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1!CATEGORY_WISE_PROFIT</c:name>
    <c:fmtId val="1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CATEGORY</a:t>
            </a:r>
            <a:r>
              <a:rPr lang="en-US" sz="1200" b="1" baseline="0">
                <a:solidFill>
                  <a:schemeClr val="bg1"/>
                </a:solidFill>
              </a:rPr>
              <a:t> WISE PROFIT MARGIN</a:t>
            </a:r>
            <a:endParaRPr lang="en-US" sz="1200" b="1">
              <a:solidFill>
                <a:schemeClr val="bg1"/>
              </a:solidFill>
            </a:endParaRPr>
          </a:p>
        </c:rich>
      </c:tx>
      <c:layout>
        <c:manualLayout>
          <c:xMode val="edge"/>
          <c:yMode val="edge"/>
          <c:x val="0.26176377952755908"/>
          <c:y val="2.7972027972027972E-2"/>
        </c:manualLayout>
      </c:layout>
      <c:overlay val="0"/>
      <c:spPr>
        <a:solidFill>
          <a:srgbClr val="6B4E3D"/>
        </a:solidFill>
        <a:ln>
          <a:solidFill>
            <a:schemeClr val="tx1">
              <a:lumMod val="75000"/>
              <a:lumOff val="25000"/>
            </a:schemeClr>
          </a:solid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31750" cap="rnd">
            <a:solidFill>
              <a:srgbClr val="E07A5F"/>
            </a:solidFill>
            <a:round/>
          </a:ln>
          <a:effectLst/>
        </c:spPr>
        <c:marker>
          <c:symbol val="circle"/>
          <c:size val="7"/>
          <c:spPr>
            <a:solidFill>
              <a:schemeClr val="bg1"/>
            </a:solidFill>
            <a:ln w="9525">
              <a:solidFill>
                <a:schemeClr val="accent1"/>
              </a:solidFill>
            </a:ln>
            <a:effectLst/>
          </c:spPr>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E07A5F"/>
            </a:solidFill>
            <a:round/>
          </a:ln>
          <a:effectLst/>
        </c:spPr>
        <c:marker>
          <c:symbol val="circle"/>
          <c:size val="7"/>
          <c:spPr>
            <a:solidFill>
              <a:schemeClr val="bg1"/>
            </a:solidFill>
            <a:ln w="9525">
              <a:solidFill>
                <a:schemeClr val="accent1"/>
              </a:solidFill>
            </a:ln>
            <a:effectLst/>
          </c:spPr>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E07A5F"/>
            </a:solidFill>
            <a:round/>
          </a:ln>
          <a:effectLst/>
        </c:spPr>
        <c:marker>
          <c:symbol val="circle"/>
          <c:size val="7"/>
          <c:spPr>
            <a:solidFill>
              <a:schemeClr val="bg1"/>
            </a:solidFill>
            <a:ln w="9525">
              <a:solidFill>
                <a:schemeClr val="accent1"/>
              </a:solidFill>
            </a:ln>
            <a:effectLst/>
          </c:spPr>
        </c:marker>
        <c:dLbl>
          <c:idx val="0"/>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6618547681541"/>
          <c:y val="0.30854306890298833"/>
          <c:w val="0.82767825896762903"/>
          <c:h val="0.5364724899857265"/>
        </c:manualLayout>
      </c:layout>
      <c:lineChart>
        <c:grouping val="standard"/>
        <c:varyColors val="0"/>
        <c:ser>
          <c:idx val="0"/>
          <c:order val="0"/>
          <c:tx>
            <c:strRef>
              <c:f>'Pivot Table 1'!$AD$3</c:f>
              <c:strCache>
                <c:ptCount val="1"/>
                <c:pt idx="0">
                  <c:v>Total</c:v>
                </c:pt>
              </c:strCache>
            </c:strRef>
          </c:tx>
          <c:spPr>
            <a:ln w="31750" cap="rnd">
              <a:solidFill>
                <a:srgbClr val="E07A5F"/>
              </a:solidFill>
              <a:round/>
            </a:ln>
            <a:effectLst/>
          </c:spPr>
          <c:marker>
            <c:symbol val="circle"/>
            <c:size val="7"/>
            <c:spPr>
              <a:solidFill>
                <a:schemeClr val="bg1"/>
              </a:solidFill>
              <a:ln w="9525">
                <a:solidFill>
                  <a:schemeClr val="accent1"/>
                </a:solidFill>
              </a:ln>
              <a:effectLst/>
            </c:spPr>
          </c:marker>
          <c:dLbls>
            <c:spPr>
              <a:solidFill>
                <a:srgbClr val="FFF8E7"/>
              </a:solidFill>
              <a:ln>
                <a:solidFill>
                  <a:srgbClr val="6B4E3D"/>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1'!$AC$4:$AC$8</c:f>
              <c:strCache>
                <c:ptCount val="5"/>
                <c:pt idx="0">
                  <c:v>Coffee</c:v>
                </c:pt>
                <c:pt idx="1">
                  <c:v>Cold Beverages</c:v>
                </c:pt>
                <c:pt idx="2">
                  <c:v>Desserts</c:v>
                </c:pt>
                <c:pt idx="3">
                  <c:v>Snacks</c:v>
                </c:pt>
                <c:pt idx="4">
                  <c:v>Tea</c:v>
                </c:pt>
              </c:strCache>
            </c:strRef>
          </c:cat>
          <c:val>
            <c:numRef>
              <c:f>'Pivot Table 1'!$AD$4:$AD$8</c:f>
              <c:numCache>
                <c:formatCode>"₹"\ #,##0</c:formatCode>
                <c:ptCount val="5"/>
                <c:pt idx="0">
                  <c:v>35487.5</c:v>
                </c:pt>
                <c:pt idx="1">
                  <c:v>31570</c:v>
                </c:pt>
                <c:pt idx="2">
                  <c:v>41352.5</c:v>
                </c:pt>
                <c:pt idx="3">
                  <c:v>25847.5</c:v>
                </c:pt>
                <c:pt idx="4">
                  <c:v>48982.5</c:v>
                </c:pt>
              </c:numCache>
            </c:numRef>
          </c:val>
          <c:smooth val="0"/>
          <c:extLst>
            <c:ext xmlns:c16="http://schemas.microsoft.com/office/drawing/2014/chart" uri="{C3380CC4-5D6E-409C-BE32-E72D297353CC}">
              <c16:uniqueId val="{00000000-A550-4AD7-9E81-9B79F2D16F61}"/>
            </c:ext>
          </c:extLst>
        </c:ser>
        <c:dLbls>
          <c:dLblPos val="t"/>
          <c:showLegendKey val="0"/>
          <c:showVal val="1"/>
          <c:showCatName val="0"/>
          <c:showSerName val="0"/>
          <c:showPercent val="0"/>
          <c:showBubbleSize val="0"/>
        </c:dLbls>
        <c:marker val="1"/>
        <c:smooth val="0"/>
        <c:axId val="1473720351"/>
        <c:axId val="1473706207"/>
      </c:lineChart>
      <c:catAx>
        <c:axId val="1473720351"/>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473706207"/>
        <c:crosses val="autoZero"/>
        <c:auto val="1"/>
        <c:lblAlgn val="ctr"/>
        <c:lblOffset val="100"/>
        <c:noMultiLvlLbl val="0"/>
      </c:catAx>
      <c:valAx>
        <c:axId val="1473706207"/>
        <c:scaling>
          <c:orientation val="minMax"/>
        </c:scaling>
        <c:delete val="0"/>
        <c:axPos val="l"/>
        <c:numFmt formatCode="&quot;₹&quot;\ #,##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473720351"/>
        <c:crosses val="autoZero"/>
        <c:crossBetween val="between"/>
      </c:valAx>
      <c:spPr>
        <a:solidFill>
          <a:srgbClr val="FFF8E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1!TOP5_ITMS_BY_CATEGORY</c:name>
    <c:fmtId val="1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TOP</a:t>
            </a:r>
            <a:r>
              <a:rPr lang="en-US" sz="1200" b="1" baseline="0">
                <a:solidFill>
                  <a:schemeClr val="bg1"/>
                </a:solidFill>
              </a:rPr>
              <a:t> 5 ITEMS BY PROFIT</a:t>
            </a:r>
            <a:endParaRPr lang="en-US" sz="1200" b="1">
              <a:solidFill>
                <a:schemeClr val="bg1"/>
              </a:solidFill>
            </a:endParaRPr>
          </a:p>
        </c:rich>
      </c:tx>
      <c:layout>
        <c:manualLayout>
          <c:xMode val="edge"/>
          <c:yMode val="edge"/>
          <c:x val="0.33534011373578304"/>
          <c:y val="2.5000000000000001E-2"/>
        </c:manualLayout>
      </c:layout>
      <c:overlay val="0"/>
      <c:spPr>
        <a:solidFill>
          <a:srgbClr val="6B4E3D"/>
        </a:solidFill>
        <a:ln>
          <a:solidFill>
            <a:srgbClr val="6B4E3D"/>
          </a:solid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81B29A"/>
          </a:solidFill>
          <a:ln>
            <a:solidFill>
              <a:schemeClr val="tx1">
                <a:lumMod val="85000"/>
                <a:lumOff val="15000"/>
              </a:schemeClr>
            </a:solidFill>
          </a:ln>
          <a:effectLst/>
        </c:spPr>
        <c:marker>
          <c:symbol val="none"/>
        </c:marker>
        <c:dLbl>
          <c:idx val="0"/>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B29A"/>
          </a:solidFill>
          <a:ln>
            <a:solidFill>
              <a:schemeClr val="tx1">
                <a:lumMod val="85000"/>
                <a:lumOff val="15000"/>
              </a:schemeClr>
            </a:solidFill>
          </a:ln>
          <a:effectLst/>
        </c:spPr>
        <c:marker>
          <c:symbol val="none"/>
        </c:marker>
        <c:dLbl>
          <c:idx val="0"/>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B29A"/>
          </a:solidFill>
          <a:ln>
            <a:solidFill>
              <a:schemeClr val="tx1">
                <a:lumMod val="85000"/>
                <a:lumOff val="15000"/>
              </a:schemeClr>
            </a:solidFill>
          </a:ln>
          <a:effectLst/>
        </c:spPr>
        <c:marker>
          <c:symbol val="none"/>
        </c:marker>
        <c:dLbl>
          <c:idx val="0"/>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4483814523184"/>
          <c:y val="0.24928100874168743"/>
          <c:w val="0.73692738407699032"/>
          <c:h val="0.576749522817389"/>
        </c:manualLayout>
      </c:layout>
      <c:barChart>
        <c:barDir val="bar"/>
        <c:grouping val="clustered"/>
        <c:varyColors val="0"/>
        <c:ser>
          <c:idx val="0"/>
          <c:order val="0"/>
          <c:tx>
            <c:strRef>
              <c:f>'Pivot Table 1'!$AG$3</c:f>
              <c:strCache>
                <c:ptCount val="1"/>
                <c:pt idx="0">
                  <c:v>Total</c:v>
                </c:pt>
              </c:strCache>
            </c:strRef>
          </c:tx>
          <c:spPr>
            <a:solidFill>
              <a:srgbClr val="81B29A"/>
            </a:solidFill>
            <a:ln>
              <a:solidFill>
                <a:schemeClr val="tx1">
                  <a:lumMod val="85000"/>
                  <a:lumOff val="15000"/>
                </a:schemeClr>
              </a:solidFill>
            </a:ln>
            <a:effectLst/>
          </c:spPr>
          <c:invertIfNegative val="0"/>
          <c:dLbls>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1'!$AF$4:$AF$8</c:f>
              <c:strCache>
                <c:ptCount val="5"/>
                <c:pt idx="0">
                  <c:v>Black Tea</c:v>
                </c:pt>
                <c:pt idx="1">
                  <c:v>Cappuccino</c:v>
                </c:pt>
                <c:pt idx="2">
                  <c:v>Cupcake</c:v>
                </c:pt>
                <c:pt idx="3">
                  <c:v>Masala Chai</c:v>
                </c:pt>
                <c:pt idx="4">
                  <c:v>Tiramisu</c:v>
                </c:pt>
              </c:strCache>
            </c:strRef>
          </c:cat>
          <c:val>
            <c:numRef>
              <c:f>'Pivot Table 1'!$AG$4:$AG$8</c:f>
              <c:numCache>
                <c:formatCode>"₹"\ #,##0</c:formatCode>
                <c:ptCount val="5"/>
                <c:pt idx="0">
                  <c:v>10572.5</c:v>
                </c:pt>
                <c:pt idx="1">
                  <c:v>10482.5</c:v>
                </c:pt>
                <c:pt idx="2">
                  <c:v>11807.5</c:v>
                </c:pt>
                <c:pt idx="3">
                  <c:v>12942.5</c:v>
                </c:pt>
                <c:pt idx="4">
                  <c:v>11810</c:v>
                </c:pt>
              </c:numCache>
            </c:numRef>
          </c:val>
          <c:extLst>
            <c:ext xmlns:c16="http://schemas.microsoft.com/office/drawing/2014/chart" uri="{C3380CC4-5D6E-409C-BE32-E72D297353CC}">
              <c16:uniqueId val="{00000000-3BAE-4163-AACC-D7140C111639}"/>
            </c:ext>
          </c:extLst>
        </c:ser>
        <c:dLbls>
          <c:dLblPos val="outEnd"/>
          <c:showLegendKey val="0"/>
          <c:showVal val="1"/>
          <c:showCatName val="0"/>
          <c:showSerName val="0"/>
          <c:showPercent val="0"/>
          <c:showBubbleSize val="0"/>
        </c:dLbls>
        <c:gapWidth val="182"/>
        <c:axId val="1629047183"/>
        <c:axId val="1629048015"/>
      </c:barChart>
      <c:catAx>
        <c:axId val="1629047183"/>
        <c:scaling>
          <c:orientation val="minMax"/>
        </c:scaling>
        <c:delete val="0"/>
        <c:axPos val="l"/>
        <c:numFmt formatCode="General" sourceLinked="1"/>
        <c:majorTickMark val="none"/>
        <c:minorTickMark val="none"/>
        <c:tickLblPos val="nextTo"/>
        <c:spPr>
          <a:noFill/>
          <a:ln w="9525" cap="flat" cmpd="sng" algn="ctr">
            <a:solidFill>
              <a:srgbClr val="6B4E3D"/>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29048015"/>
        <c:crosses val="autoZero"/>
        <c:auto val="1"/>
        <c:lblAlgn val="ctr"/>
        <c:lblOffset val="100"/>
        <c:noMultiLvlLbl val="0"/>
      </c:catAx>
      <c:valAx>
        <c:axId val="1629048015"/>
        <c:scaling>
          <c:orientation val="minMax"/>
        </c:scaling>
        <c:delete val="0"/>
        <c:axPos val="b"/>
        <c:numFmt formatCode="&quot;₹&quot;\ #,##0" sourceLinked="1"/>
        <c:majorTickMark val="none"/>
        <c:minorTickMark val="none"/>
        <c:tickLblPos val="nextTo"/>
        <c:spPr>
          <a:noFill/>
          <a:ln>
            <a:solidFill>
              <a:srgbClr val="6B4E3D"/>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29047183"/>
        <c:crosses val="autoZero"/>
        <c:crossBetween val="between"/>
      </c:valAx>
      <c:spPr>
        <a:solidFill>
          <a:srgbClr val="FFF8E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1!BOTTOM5_ITEMS_BY_CATEGORY</c:name>
    <c:fmtId val="1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BOTTOM</a:t>
            </a:r>
            <a:r>
              <a:rPr lang="en-US" sz="1200" b="1" baseline="0">
                <a:solidFill>
                  <a:schemeClr val="bg1"/>
                </a:solidFill>
              </a:rPr>
              <a:t> 5 ITEMS BY PROFIT</a:t>
            </a:r>
            <a:endParaRPr lang="en-US" sz="1200" b="1">
              <a:solidFill>
                <a:schemeClr val="bg1"/>
              </a:solidFill>
            </a:endParaRPr>
          </a:p>
        </c:rich>
      </c:tx>
      <c:layout>
        <c:manualLayout>
          <c:xMode val="edge"/>
          <c:yMode val="edge"/>
          <c:x val="0.30372222222222223"/>
          <c:y val="2.5000000000000001E-2"/>
        </c:manualLayout>
      </c:layout>
      <c:overlay val="0"/>
      <c:spPr>
        <a:solidFill>
          <a:srgbClr val="6B4E3D"/>
        </a:solidFill>
        <a:ln>
          <a:solidFill>
            <a:schemeClr val="bg1">
              <a:lumMod val="50000"/>
            </a:schemeClr>
          </a:solid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81B29A"/>
          </a:solidFill>
          <a:ln>
            <a:solidFill>
              <a:schemeClr val="tx1">
                <a:lumMod val="85000"/>
                <a:lumOff val="15000"/>
              </a:schemeClr>
            </a:solidFill>
          </a:ln>
          <a:effectLst/>
        </c:spPr>
        <c:marker>
          <c:symbol val="none"/>
        </c:marker>
        <c:dLbl>
          <c:idx val="0"/>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B29A"/>
          </a:solidFill>
          <a:ln>
            <a:solidFill>
              <a:schemeClr val="tx1">
                <a:lumMod val="85000"/>
                <a:lumOff val="15000"/>
              </a:schemeClr>
            </a:solidFill>
          </a:ln>
          <a:effectLst/>
        </c:spPr>
        <c:marker>
          <c:symbol val="none"/>
        </c:marker>
        <c:dLbl>
          <c:idx val="0"/>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B29A"/>
          </a:solidFill>
          <a:ln>
            <a:solidFill>
              <a:schemeClr val="tx1">
                <a:lumMod val="85000"/>
                <a:lumOff val="15000"/>
              </a:schemeClr>
            </a:solidFill>
          </a:ln>
          <a:effectLst/>
        </c:spPr>
        <c:marker>
          <c:symbol val="none"/>
        </c:marker>
        <c:dLbl>
          <c:idx val="0"/>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0306211723536"/>
          <c:y val="0.21741666666666667"/>
          <c:w val="0.77301093613298333"/>
          <c:h val="0.59881955380577423"/>
        </c:manualLayout>
      </c:layout>
      <c:barChart>
        <c:barDir val="bar"/>
        <c:grouping val="clustered"/>
        <c:varyColors val="0"/>
        <c:ser>
          <c:idx val="0"/>
          <c:order val="0"/>
          <c:tx>
            <c:strRef>
              <c:f>'Pivot Table 1'!$AJ$3</c:f>
              <c:strCache>
                <c:ptCount val="1"/>
                <c:pt idx="0">
                  <c:v>Total</c:v>
                </c:pt>
              </c:strCache>
            </c:strRef>
          </c:tx>
          <c:spPr>
            <a:solidFill>
              <a:srgbClr val="81B29A"/>
            </a:solidFill>
            <a:ln>
              <a:solidFill>
                <a:schemeClr val="tx1">
                  <a:lumMod val="85000"/>
                  <a:lumOff val="15000"/>
                </a:schemeClr>
              </a:solidFill>
            </a:ln>
            <a:effectLst/>
          </c:spPr>
          <c:invertIfNegative val="0"/>
          <c:dLbls>
            <c:spPr>
              <a:solidFill>
                <a:srgbClr val="FFF8E7"/>
              </a:solidFill>
              <a:ln>
                <a:solidFill>
                  <a:schemeClr val="tx1">
                    <a:lumMod val="75000"/>
                    <a:lumOff val="2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1'!$AI$4:$AI$8</c:f>
              <c:strCache>
                <c:ptCount val="5"/>
                <c:pt idx="0">
                  <c:v>Brownie</c:v>
                </c:pt>
                <c:pt idx="1">
                  <c:v>Espresso</c:v>
                </c:pt>
                <c:pt idx="2">
                  <c:v>Mocha</c:v>
                </c:pt>
                <c:pt idx="3">
                  <c:v>Muffin</c:v>
                </c:pt>
                <c:pt idx="4">
                  <c:v>Sandwich</c:v>
                </c:pt>
              </c:strCache>
            </c:strRef>
          </c:cat>
          <c:val>
            <c:numRef>
              <c:f>'Pivot Table 1'!$AJ$4:$AJ$8</c:f>
              <c:numCache>
                <c:formatCode>"₹"\ #,##0</c:formatCode>
                <c:ptCount val="5"/>
                <c:pt idx="0">
                  <c:v>6637.5</c:v>
                </c:pt>
                <c:pt idx="1">
                  <c:v>3597.5</c:v>
                </c:pt>
                <c:pt idx="2">
                  <c:v>3415</c:v>
                </c:pt>
                <c:pt idx="3">
                  <c:v>1400</c:v>
                </c:pt>
                <c:pt idx="4">
                  <c:v>3065</c:v>
                </c:pt>
              </c:numCache>
            </c:numRef>
          </c:val>
          <c:extLst>
            <c:ext xmlns:c16="http://schemas.microsoft.com/office/drawing/2014/chart" uri="{C3380CC4-5D6E-409C-BE32-E72D297353CC}">
              <c16:uniqueId val="{00000000-F1F5-451C-A597-1F54073C3941}"/>
            </c:ext>
          </c:extLst>
        </c:ser>
        <c:dLbls>
          <c:dLblPos val="outEnd"/>
          <c:showLegendKey val="0"/>
          <c:showVal val="1"/>
          <c:showCatName val="0"/>
          <c:showSerName val="0"/>
          <c:showPercent val="0"/>
          <c:showBubbleSize val="0"/>
        </c:dLbls>
        <c:gapWidth val="182"/>
        <c:axId val="1635347007"/>
        <c:axId val="1635345759"/>
      </c:barChart>
      <c:catAx>
        <c:axId val="1635347007"/>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35345759"/>
        <c:crosses val="autoZero"/>
        <c:auto val="1"/>
        <c:lblAlgn val="ctr"/>
        <c:lblOffset val="100"/>
        <c:noMultiLvlLbl val="0"/>
      </c:catAx>
      <c:valAx>
        <c:axId val="1635345759"/>
        <c:scaling>
          <c:orientation val="minMax"/>
        </c:scaling>
        <c:delete val="0"/>
        <c:axPos val="b"/>
        <c:numFmt formatCode="&quot;₹&quot;\ #,##0" sourceLinked="1"/>
        <c:majorTickMark val="none"/>
        <c:minorTickMark val="none"/>
        <c:tickLblPos val="nextTo"/>
        <c:spPr>
          <a:blipFill>
            <a:blip xmlns:r="http://schemas.openxmlformats.org/officeDocument/2006/relationships" r:embed="rId3"/>
            <a:tile tx="0" ty="0" sx="100000" sy="100000" flip="none" algn="tl"/>
          </a:blipFill>
          <a:ln>
            <a:solidFill>
              <a:schemeClr val="bg1">
                <a:lumMod val="50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635347007"/>
        <c:crosses val="autoZero"/>
        <c:crossBetween val="between"/>
      </c:valAx>
      <c:spPr>
        <a:solidFill>
          <a:srgbClr val="FFF8E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1!PROFIT_TO_REVENEUE_FOR_BRANCH</c:name>
    <c:fmtId val="1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BRANCH</a:t>
            </a:r>
            <a:r>
              <a:rPr lang="en-US" b="1" baseline="0">
                <a:solidFill>
                  <a:schemeClr val="bg1"/>
                </a:solidFill>
              </a:rPr>
              <a:t> VS THEIR PROFIT RATIO</a:t>
            </a:r>
            <a:endParaRPr lang="en-US" b="1">
              <a:solidFill>
                <a:schemeClr val="bg1"/>
              </a:solidFill>
            </a:endParaRPr>
          </a:p>
        </c:rich>
      </c:tx>
      <c:layout>
        <c:manualLayout>
          <c:xMode val="edge"/>
          <c:yMode val="edge"/>
          <c:x val="0.30960988689363472"/>
          <c:y val="1.470605390012523E-2"/>
        </c:manualLayout>
      </c:layout>
      <c:overlay val="0"/>
      <c:spPr>
        <a:solidFill>
          <a:srgbClr val="6B4E3D"/>
        </a:solidFill>
        <a:ln>
          <a:solidFill>
            <a:schemeClr val="tx1">
              <a:lumMod val="95000"/>
              <a:lumOff val="5000"/>
            </a:schemeClr>
          </a:soli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solidFill>
              <a:srgbClr val="FFF8E7"/>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6B4E3D"/>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tx1">
                <a:lumMod val="95000"/>
                <a:lumOff val="5000"/>
              </a:schemeClr>
            </a:solidFill>
          </a:ln>
          <a:effectLst/>
        </c:spPr>
        <c:marker>
          <c:symbol val="none"/>
        </c:marker>
        <c:dLbl>
          <c:idx val="0"/>
          <c:spPr>
            <a:solidFill>
              <a:srgbClr val="FFF8E7"/>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6B4E3D"/>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tx1">
                <a:lumMod val="95000"/>
                <a:lumOff val="5000"/>
              </a:schemeClr>
            </a:solidFill>
          </a:ln>
          <a:effectLst/>
        </c:spPr>
      </c:pivotFmt>
      <c:pivotFmt>
        <c:idx val="3"/>
        <c:spPr>
          <a:solidFill>
            <a:schemeClr val="accent1"/>
          </a:solidFill>
          <a:ln w="19050">
            <a:solidFill>
              <a:schemeClr val="tx1">
                <a:lumMod val="95000"/>
                <a:lumOff val="5000"/>
              </a:schemeClr>
            </a:solidFill>
          </a:ln>
          <a:effectLst/>
        </c:spPr>
      </c:pivotFmt>
      <c:pivotFmt>
        <c:idx val="4"/>
        <c:spPr>
          <a:solidFill>
            <a:schemeClr val="accent1"/>
          </a:solidFill>
          <a:ln w="19050">
            <a:solidFill>
              <a:schemeClr val="tx1">
                <a:lumMod val="95000"/>
                <a:lumOff val="5000"/>
              </a:schemeClr>
            </a:solidFill>
          </a:ln>
          <a:effectLst/>
        </c:spPr>
      </c:pivotFmt>
      <c:pivotFmt>
        <c:idx val="5"/>
        <c:spPr>
          <a:solidFill>
            <a:schemeClr val="accent1"/>
          </a:solidFill>
          <a:ln w="19050">
            <a:solidFill>
              <a:schemeClr val="tx1">
                <a:lumMod val="95000"/>
                <a:lumOff val="5000"/>
              </a:schemeClr>
            </a:solidFill>
          </a:ln>
          <a:effectLst/>
        </c:spPr>
      </c:pivotFmt>
      <c:pivotFmt>
        <c:idx val="6"/>
        <c:spPr>
          <a:solidFill>
            <a:schemeClr val="accent1"/>
          </a:solidFill>
          <a:ln w="19050">
            <a:solidFill>
              <a:schemeClr val="tx1">
                <a:lumMod val="95000"/>
                <a:lumOff val="5000"/>
              </a:schemeClr>
            </a:solidFill>
          </a:ln>
          <a:effectLst/>
        </c:spPr>
      </c:pivotFmt>
      <c:pivotFmt>
        <c:idx val="7"/>
        <c:spPr>
          <a:solidFill>
            <a:schemeClr val="accent1"/>
          </a:solidFill>
          <a:ln w="19050">
            <a:solidFill>
              <a:schemeClr val="tx1">
                <a:lumMod val="95000"/>
                <a:lumOff val="5000"/>
              </a:schemeClr>
            </a:solidFill>
          </a:ln>
          <a:effectLst/>
        </c:spPr>
      </c:pivotFmt>
      <c:pivotFmt>
        <c:idx val="8"/>
        <c:spPr>
          <a:solidFill>
            <a:schemeClr val="accent1"/>
          </a:solidFill>
          <a:ln w="19050">
            <a:solidFill>
              <a:schemeClr val="tx1">
                <a:lumMod val="95000"/>
                <a:lumOff val="5000"/>
              </a:schemeClr>
            </a:solidFill>
          </a:ln>
          <a:effectLst/>
        </c:spPr>
      </c:pivotFmt>
      <c:pivotFmt>
        <c:idx val="9"/>
        <c:spPr>
          <a:solidFill>
            <a:schemeClr val="accent1"/>
          </a:solidFill>
          <a:ln w="19050">
            <a:solidFill>
              <a:schemeClr val="tx1">
                <a:lumMod val="95000"/>
                <a:lumOff val="5000"/>
              </a:schemeClr>
            </a:solidFill>
          </a:ln>
          <a:effectLst/>
        </c:spPr>
        <c:marker>
          <c:symbol val="none"/>
        </c:marker>
        <c:dLbl>
          <c:idx val="0"/>
          <c:spPr>
            <a:solidFill>
              <a:srgbClr val="FFF8E7"/>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6B4E3D"/>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tx1">
                <a:lumMod val="95000"/>
                <a:lumOff val="5000"/>
              </a:schemeClr>
            </a:solidFill>
          </a:ln>
          <a:effectLst/>
        </c:spPr>
      </c:pivotFmt>
      <c:pivotFmt>
        <c:idx val="11"/>
        <c:spPr>
          <a:solidFill>
            <a:schemeClr val="accent1"/>
          </a:solidFill>
          <a:ln w="19050">
            <a:solidFill>
              <a:schemeClr val="tx1">
                <a:lumMod val="95000"/>
                <a:lumOff val="5000"/>
              </a:schemeClr>
            </a:solidFill>
          </a:ln>
          <a:effectLst/>
        </c:spPr>
      </c:pivotFmt>
      <c:pivotFmt>
        <c:idx val="12"/>
        <c:spPr>
          <a:solidFill>
            <a:schemeClr val="accent1"/>
          </a:solidFill>
          <a:ln w="19050">
            <a:solidFill>
              <a:schemeClr val="tx1">
                <a:lumMod val="95000"/>
                <a:lumOff val="5000"/>
              </a:schemeClr>
            </a:solidFill>
          </a:ln>
          <a:effectLst/>
        </c:spPr>
      </c:pivotFmt>
      <c:pivotFmt>
        <c:idx val="13"/>
        <c:spPr>
          <a:solidFill>
            <a:schemeClr val="accent1"/>
          </a:solidFill>
          <a:ln w="19050">
            <a:solidFill>
              <a:schemeClr val="tx1">
                <a:lumMod val="95000"/>
                <a:lumOff val="5000"/>
              </a:schemeClr>
            </a:solidFill>
          </a:ln>
          <a:effectLst/>
        </c:spPr>
      </c:pivotFmt>
      <c:pivotFmt>
        <c:idx val="14"/>
        <c:spPr>
          <a:solidFill>
            <a:schemeClr val="accent1"/>
          </a:solidFill>
          <a:ln w="19050">
            <a:solidFill>
              <a:schemeClr val="tx1">
                <a:lumMod val="95000"/>
                <a:lumOff val="5000"/>
              </a:schemeClr>
            </a:solidFill>
          </a:ln>
          <a:effectLst/>
        </c:spPr>
      </c:pivotFmt>
      <c:pivotFmt>
        <c:idx val="15"/>
        <c:spPr>
          <a:solidFill>
            <a:schemeClr val="accent1"/>
          </a:solidFill>
          <a:ln w="19050">
            <a:solidFill>
              <a:schemeClr val="tx1">
                <a:lumMod val="95000"/>
                <a:lumOff val="5000"/>
              </a:schemeClr>
            </a:solidFill>
          </a:ln>
          <a:effectLst/>
        </c:spPr>
      </c:pivotFmt>
      <c:pivotFmt>
        <c:idx val="16"/>
        <c:spPr>
          <a:solidFill>
            <a:schemeClr val="accent1"/>
          </a:solidFill>
          <a:ln w="19050">
            <a:solidFill>
              <a:schemeClr val="tx1">
                <a:lumMod val="95000"/>
                <a:lumOff val="5000"/>
              </a:schemeClr>
            </a:solidFill>
          </a:ln>
          <a:effectLst/>
        </c:spPr>
      </c:pivotFmt>
    </c:pivotFmts>
    <c:plotArea>
      <c:layout>
        <c:manualLayout>
          <c:layoutTarget val="inner"/>
          <c:xMode val="edge"/>
          <c:yMode val="edge"/>
          <c:x val="0.31296908929549272"/>
          <c:y val="0.24315063558231692"/>
          <c:w val="0.35967352102569911"/>
          <c:h val="0.6535244368963683"/>
        </c:manualLayout>
      </c:layout>
      <c:pieChart>
        <c:varyColors val="1"/>
        <c:ser>
          <c:idx val="0"/>
          <c:order val="0"/>
          <c:tx>
            <c:strRef>
              <c:f>'Pivot Table 1'!$AS$3</c:f>
              <c:strCache>
                <c:ptCount val="1"/>
                <c:pt idx="0">
                  <c:v>Total</c:v>
                </c:pt>
              </c:strCache>
            </c:strRef>
          </c:tx>
          <c:spPr>
            <a:ln>
              <a:solidFill>
                <a:schemeClr val="tx1">
                  <a:lumMod val="95000"/>
                  <a:lumOff val="5000"/>
                </a:schemeClr>
              </a:solidFill>
            </a:ln>
          </c:spPr>
          <c:explosion val="5"/>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906C-4BC3-83AE-76BCB4A4DF7E}"/>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906C-4BC3-83AE-76BCB4A4DF7E}"/>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906C-4BC3-83AE-76BCB4A4DF7E}"/>
              </c:ext>
            </c:extLst>
          </c:dPt>
          <c:dPt>
            <c:idx val="3"/>
            <c:bubble3D val="0"/>
            <c:spPr>
              <a:solidFill>
                <a:schemeClr val="accent4"/>
              </a:solidFill>
              <a:ln w="19050">
                <a:solidFill>
                  <a:schemeClr val="tx1">
                    <a:lumMod val="95000"/>
                    <a:lumOff val="5000"/>
                  </a:schemeClr>
                </a:solidFill>
              </a:ln>
              <a:effectLst/>
            </c:spPr>
            <c:extLst>
              <c:ext xmlns:c16="http://schemas.microsoft.com/office/drawing/2014/chart" uri="{C3380CC4-5D6E-409C-BE32-E72D297353CC}">
                <c16:uniqueId val="{00000007-906C-4BC3-83AE-76BCB4A4DF7E}"/>
              </c:ext>
            </c:extLst>
          </c:dPt>
          <c:dPt>
            <c:idx val="4"/>
            <c:bubble3D val="0"/>
            <c:spPr>
              <a:solidFill>
                <a:schemeClr val="accent5"/>
              </a:solidFill>
              <a:ln w="19050">
                <a:solidFill>
                  <a:schemeClr val="tx1">
                    <a:lumMod val="95000"/>
                    <a:lumOff val="5000"/>
                  </a:schemeClr>
                </a:solidFill>
              </a:ln>
              <a:effectLst/>
            </c:spPr>
            <c:extLst>
              <c:ext xmlns:c16="http://schemas.microsoft.com/office/drawing/2014/chart" uri="{C3380CC4-5D6E-409C-BE32-E72D297353CC}">
                <c16:uniqueId val="{00000009-906C-4BC3-83AE-76BCB4A4DF7E}"/>
              </c:ext>
            </c:extLst>
          </c:dPt>
          <c:dPt>
            <c:idx val="5"/>
            <c:bubble3D val="0"/>
            <c:spPr>
              <a:solidFill>
                <a:schemeClr val="accent6"/>
              </a:solidFill>
              <a:ln w="19050">
                <a:solidFill>
                  <a:schemeClr val="tx1">
                    <a:lumMod val="95000"/>
                    <a:lumOff val="5000"/>
                  </a:schemeClr>
                </a:solidFill>
              </a:ln>
              <a:effectLst/>
            </c:spPr>
            <c:extLst>
              <c:ext xmlns:c16="http://schemas.microsoft.com/office/drawing/2014/chart" uri="{C3380CC4-5D6E-409C-BE32-E72D297353CC}">
                <c16:uniqueId val="{0000000B-906C-4BC3-83AE-76BCB4A4DF7E}"/>
              </c:ext>
            </c:extLst>
          </c:dPt>
          <c:dPt>
            <c:idx val="6"/>
            <c:bubble3D val="0"/>
            <c:spPr>
              <a:solidFill>
                <a:schemeClr val="accent1">
                  <a:lumMod val="60000"/>
                </a:schemeClr>
              </a:solidFill>
              <a:ln w="19050">
                <a:solidFill>
                  <a:schemeClr val="tx1">
                    <a:lumMod val="95000"/>
                    <a:lumOff val="5000"/>
                  </a:schemeClr>
                </a:solidFill>
              </a:ln>
              <a:effectLst/>
            </c:spPr>
            <c:extLst>
              <c:ext xmlns:c16="http://schemas.microsoft.com/office/drawing/2014/chart" uri="{C3380CC4-5D6E-409C-BE32-E72D297353CC}">
                <c16:uniqueId val="{0000000D-906C-4BC3-83AE-76BCB4A4DF7E}"/>
              </c:ext>
            </c:extLst>
          </c:dPt>
          <c:dLbls>
            <c:spPr>
              <a:solidFill>
                <a:srgbClr val="FFF8E7"/>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6B4E3D"/>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1'!$AR$4:$AR$11</c:f>
              <c:strCache>
                <c:ptCount val="7"/>
                <c:pt idx="0">
                  <c:v>Branch-1</c:v>
                </c:pt>
                <c:pt idx="1">
                  <c:v>Branch-2</c:v>
                </c:pt>
                <c:pt idx="2">
                  <c:v>Branch-3</c:v>
                </c:pt>
                <c:pt idx="3">
                  <c:v>Branch-4</c:v>
                </c:pt>
                <c:pt idx="4">
                  <c:v>Branch-5</c:v>
                </c:pt>
                <c:pt idx="5">
                  <c:v>Branch-6</c:v>
                </c:pt>
                <c:pt idx="6">
                  <c:v>Branch-7</c:v>
                </c:pt>
              </c:strCache>
            </c:strRef>
          </c:cat>
          <c:val>
            <c:numRef>
              <c:f>'Pivot Table 1'!$AS$4:$AS$11</c:f>
              <c:numCache>
                <c:formatCode>0%</c:formatCode>
                <c:ptCount val="7"/>
                <c:pt idx="0">
                  <c:v>0.59417322834645669</c:v>
                </c:pt>
                <c:pt idx="1">
                  <c:v>0.61068814774792479</c:v>
                </c:pt>
                <c:pt idx="2">
                  <c:v>0.55752848198706761</c:v>
                </c:pt>
                <c:pt idx="3">
                  <c:v>0.62243979293270313</c:v>
                </c:pt>
                <c:pt idx="4">
                  <c:v>0.61420735423579598</c:v>
                </c:pt>
                <c:pt idx="5">
                  <c:v>0.6208342177881554</c:v>
                </c:pt>
                <c:pt idx="6">
                  <c:v>0.61598237067965667</c:v>
                </c:pt>
              </c:numCache>
            </c:numRef>
          </c:val>
          <c:extLst>
            <c:ext xmlns:c16="http://schemas.microsoft.com/office/drawing/2014/chart" uri="{C3380CC4-5D6E-409C-BE32-E72D297353CC}">
              <c16:uniqueId val="{0000000E-906C-4BC3-83AE-76BCB4A4DF7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1!MOST_USED_PAYMENT_MODE</c:name>
    <c:fmtId val="2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MOST USED PAYMENT</a:t>
            </a:r>
            <a:r>
              <a:rPr lang="en-US" b="1" baseline="0">
                <a:solidFill>
                  <a:schemeClr val="bg1"/>
                </a:solidFill>
              </a:rPr>
              <a:t> MODE </a:t>
            </a:r>
            <a:endParaRPr lang="en-US" b="1">
              <a:solidFill>
                <a:schemeClr val="bg1"/>
              </a:solidFill>
            </a:endParaRPr>
          </a:p>
        </c:rich>
      </c:tx>
      <c:overlay val="0"/>
      <c:spPr>
        <a:solidFill>
          <a:srgbClr val="6B4E3D"/>
        </a:solidFill>
        <a:ln>
          <a:solidFill>
            <a:schemeClr val="tx1">
              <a:lumMod val="85000"/>
              <a:lumOff val="15000"/>
            </a:schemeClr>
          </a:soli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tx1">
                <a:lumMod val="85000"/>
                <a:lumOff val="15000"/>
              </a:schemeClr>
            </a:solidFill>
          </a:ln>
          <a:effectLst/>
        </c:spPr>
        <c:marker>
          <c:symbol val="none"/>
        </c:marker>
        <c:dLbl>
          <c:idx val="0"/>
          <c:spPr>
            <a:solidFill>
              <a:srgbClr val="FFF8E7"/>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6B4E3D"/>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tx1">
                <a:lumMod val="85000"/>
                <a:lumOff val="15000"/>
              </a:schemeClr>
            </a:solidFill>
          </a:ln>
          <a:effectLst/>
        </c:spPr>
      </c:pivotFmt>
      <c:pivotFmt>
        <c:idx val="2"/>
        <c:spPr>
          <a:solidFill>
            <a:schemeClr val="accent1"/>
          </a:solidFill>
          <a:ln w="19050">
            <a:solidFill>
              <a:schemeClr val="tx1">
                <a:lumMod val="85000"/>
                <a:lumOff val="15000"/>
              </a:schemeClr>
            </a:solidFill>
          </a:ln>
          <a:effectLst/>
        </c:spPr>
      </c:pivotFmt>
      <c:pivotFmt>
        <c:idx val="3"/>
        <c:spPr>
          <a:solidFill>
            <a:schemeClr val="accent1"/>
          </a:solidFill>
          <a:ln w="19050">
            <a:solidFill>
              <a:schemeClr val="tx1">
                <a:lumMod val="85000"/>
                <a:lumOff val="15000"/>
              </a:schemeClr>
            </a:solidFill>
          </a:ln>
          <a:effectLst/>
        </c:spPr>
      </c:pivotFmt>
      <c:pivotFmt>
        <c:idx val="4"/>
        <c:spPr>
          <a:solidFill>
            <a:schemeClr val="accent1"/>
          </a:solidFill>
          <a:ln w="19050">
            <a:solidFill>
              <a:schemeClr val="tx1">
                <a:lumMod val="85000"/>
                <a:lumOff val="15000"/>
              </a:schemeClr>
            </a:solidFill>
          </a:ln>
          <a:effectLst/>
        </c:spPr>
        <c:marker>
          <c:symbol val="none"/>
        </c:marker>
        <c:dLbl>
          <c:idx val="0"/>
          <c:spPr>
            <a:solidFill>
              <a:srgbClr val="FFF8E7"/>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6B4E3D"/>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tx1">
                <a:lumMod val="85000"/>
                <a:lumOff val="15000"/>
              </a:schemeClr>
            </a:solidFill>
          </a:ln>
          <a:effectLst/>
        </c:spPr>
      </c:pivotFmt>
      <c:pivotFmt>
        <c:idx val="6"/>
        <c:spPr>
          <a:solidFill>
            <a:schemeClr val="accent1"/>
          </a:solidFill>
          <a:ln w="19050">
            <a:solidFill>
              <a:schemeClr val="tx1">
                <a:lumMod val="85000"/>
                <a:lumOff val="15000"/>
              </a:schemeClr>
            </a:solidFill>
          </a:ln>
          <a:effectLst/>
        </c:spPr>
      </c:pivotFmt>
      <c:pivotFmt>
        <c:idx val="7"/>
        <c:spPr>
          <a:solidFill>
            <a:schemeClr val="accent1"/>
          </a:solidFill>
          <a:ln w="19050">
            <a:solidFill>
              <a:schemeClr val="tx1">
                <a:lumMod val="85000"/>
                <a:lumOff val="15000"/>
              </a:schemeClr>
            </a:solidFill>
          </a:ln>
          <a:effectLst/>
        </c:spPr>
      </c:pivotFmt>
      <c:pivotFmt>
        <c:idx val="8"/>
        <c:spPr>
          <a:solidFill>
            <a:schemeClr val="accent1"/>
          </a:solidFill>
          <a:ln w="19050">
            <a:solidFill>
              <a:schemeClr val="tx1">
                <a:lumMod val="85000"/>
                <a:lumOff val="15000"/>
              </a:schemeClr>
            </a:solidFill>
          </a:ln>
          <a:effectLst/>
        </c:spPr>
        <c:marker>
          <c:symbol val="none"/>
        </c:marker>
        <c:dLbl>
          <c:idx val="0"/>
          <c:spPr>
            <a:solidFill>
              <a:srgbClr val="FFF8E7"/>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6B4E3D"/>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tx1">
                <a:lumMod val="85000"/>
                <a:lumOff val="15000"/>
              </a:schemeClr>
            </a:solidFill>
          </a:ln>
          <a:effectLst/>
        </c:spPr>
      </c:pivotFmt>
      <c:pivotFmt>
        <c:idx val="10"/>
        <c:spPr>
          <a:solidFill>
            <a:schemeClr val="accent1"/>
          </a:solidFill>
          <a:ln w="19050">
            <a:solidFill>
              <a:schemeClr val="tx1">
                <a:lumMod val="85000"/>
                <a:lumOff val="15000"/>
              </a:schemeClr>
            </a:solidFill>
          </a:ln>
          <a:effectLst/>
        </c:spPr>
      </c:pivotFmt>
      <c:pivotFmt>
        <c:idx val="11"/>
        <c:spPr>
          <a:solidFill>
            <a:schemeClr val="accent1"/>
          </a:solidFill>
          <a:ln w="19050">
            <a:solidFill>
              <a:schemeClr val="tx1">
                <a:lumMod val="85000"/>
                <a:lumOff val="15000"/>
              </a:schemeClr>
            </a:solidFill>
          </a:ln>
          <a:effectLst/>
        </c:spPr>
      </c:pivotFmt>
    </c:pivotFmts>
    <c:plotArea>
      <c:layout>
        <c:manualLayout>
          <c:layoutTarget val="inner"/>
          <c:xMode val="edge"/>
          <c:yMode val="edge"/>
          <c:x val="0.33895344660864762"/>
          <c:y val="0.24811976715201101"/>
          <c:w val="0.33169028871391076"/>
          <c:h val="0.70414698162729661"/>
        </c:manualLayout>
      </c:layout>
      <c:pieChart>
        <c:varyColors val="1"/>
        <c:ser>
          <c:idx val="0"/>
          <c:order val="0"/>
          <c:tx>
            <c:strRef>
              <c:f>'Pivot Table 1'!$AV$3</c:f>
              <c:strCache>
                <c:ptCount val="1"/>
                <c:pt idx="0">
                  <c:v>Total</c:v>
                </c:pt>
              </c:strCache>
            </c:strRef>
          </c:tx>
          <c:spPr>
            <a:ln>
              <a:solidFill>
                <a:schemeClr val="tx1">
                  <a:lumMod val="85000"/>
                  <a:lumOff val="15000"/>
                </a:schemeClr>
              </a:solidFill>
            </a:ln>
          </c:spPr>
          <c:explosion val="5"/>
          <c:dPt>
            <c:idx val="0"/>
            <c:bubble3D val="0"/>
            <c:spPr>
              <a:solidFill>
                <a:schemeClr val="accent1"/>
              </a:solidFill>
              <a:ln w="19050">
                <a:solidFill>
                  <a:schemeClr val="tx1">
                    <a:lumMod val="85000"/>
                    <a:lumOff val="15000"/>
                  </a:schemeClr>
                </a:solidFill>
              </a:ln>
              <a:effectLst/>
            </c:spPr>
            <c:extLst>
              <c:ext xmlns:c16="http://schemas.microsoft.com/office/drawing/2014/chart" uri="{C3380CC4-5D6E-409C-BE32-E72D297353CC}">
                <c16:uniqueId val="{00000001-D420-45CD-8675-7E1DC74DA97E}"/>
              </c:ext>
            </c:extLst>
          </c:dPt>
          <c:dPt>
            <c:idx val="1"/>
            <c:bubble3D val="0"/>
            <c:spPr>
              <a:solidFill>
                <a:schemeClr val="accent2"/>
              </a:solidFill>
              <a:ln w="19050">
                <a:solidFill>
                  <a:schemeClr val="tx1">
                    <a:lumMod val="85000"/>
                    <a:lumOff val="15000"/>
                  </a:schemeClr>
                </a:solidFill>
              </a:ln>
              <a:effectLst/>
            </c:spPr>
            <c:extLst>
              <c:ext xmlns:c16="http://schemas.microsoft.com/office/drawing/2014/chart" uri="{C3380CC4-5D6E-409C-BE32-E72D297353CC}">
                <c16:uniqueId val="{00000003-D420-45CD-8675-7E1DC74DA97E}"/>
              </c:ext>
            </c:extLst>
          </c:dPt>
          <c:dPt>
            <c:idx val="2"/>
            <c:bubble3D val="0"/>
            <c:spPr>
              <a:solidFill>
                <a:schemeClr val="accent3"/>
              </a:solidFill>
              <a:ln w="19050">
                <a:solidFill>
                  <a:schemeClr val="tx1">
                    <a:lumMod val="85000"/>
                    <a:lumOff val="15000"/>
                  </a:schemeClr>
                </a:solidFill>
              </a:ln>
              <a:effectLst/>
            </c:spPr>
            <c:extLst>
              <c:ext xmlns:c16="http://schemas.microsoft.com/office/drawing/2014/chart" uri="{C3380CC4-5D6E-409C-BE32-E72D297353CC}">
                <c16:uniqueId val="{00000005-D420-45CD-8675-7E1DC74DA97E}"/>
              </c:ext>
            </c:extLst>
          </c:dPt>
          <c:dLbls>
            <c:spPr>
              <a:solidFill>
                <a:srgbClr val="FFF8E7"/>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6B4E3D"/>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1'!$AU$4:$AU$6</c:f>
              <c:strCache>
                <c:ptCount val="3"/>
                <c:pt idx="0">
                  <c:v>Card</c:v>
                </c:pt>
                <c:pt idx="1">
                  <c:v>Cash</c:v>
                </c:pt>
                <c:pt idx="2">
                  <c:v>UPI</c:v>
                </c:pt>
              </c:strCache>
            </c:strRef>
          </c:cat>
          <c:val>
            <c:numRef>
              <c:f>'Pivot Table 1'!$AV$4:$AV$6</c:f>
              <c:numCache>
                <c:formatCode>General</c:formatCode>
                <c:ptCount val="3"/>
                <c:pt idx="0">
                  <c:v>178</c:v>
                </c:pt>
                <c:pt idx="1">
                  <c:v>211</c:v>
                </c:pt>
                <c:pt idx="2">
                  <c:v>196</c:v>
                </c:pt>
              </c:numCache>
            </c:numRef>
          </c:val>
          <c:extLst>
            <c:ext xmlns:c16="http://schemas.microsoft.com/office/drawing/2014/chart" uri="{C3380CC4-5D6E-409C-BE32-E72D297353CC}">
              <c16:uniqueId val="{00000006-D420-45CD-8675-7E1DC74DA97E}"/>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[BrewHeaven Dashboard (2).xlsx]Pivot Table 1!PivotTable13</c:name>
    <c:fmtId val="2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REGION VS PAYMENT MODE USED</a:t>
            </a:r>
          </a:p>
        </c:rich>
      </c:tx>
      <c:overlay val="0"/>
      <c:spPr>
        <a:solidFill>
          <a:srgbClr val="6B4E3D"/>
        </a:solidFill>
        <a:ln>
          <a:solidFill>
            <a:schemeClr val="tx1">
              <a:lumMod val="85000"/>
              <a:lumOff val="15000"/>
            </a:schemeClr>
          </a:soli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tx1">
                <a:lumMod val="85000"/>
                <a:lumOff val="15000"/>
              </a:schemeClr>
            </a:solidFill>
          </a:ln>
          <a:effectLst/>
        </c:spPr>
        <c:marker>
          <c:symbol val="none"/>
        </c:marker>
        <c:dLbl>
          <c:idx val="0"/>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03574739550843E-2"/>
          <c:y val="0.32039455319625471"/>
          <c:w val="0.95412758400540099"/>
          <c:h val="0.55384511506154699"/>
        </c:manualLayout>
      </c:layout>
      <c:barChart>
        <c:barDir val="col"/>
        <c:grouping val="clustered"/>
        <c:varyColors val="0"/>
        <c:ser>
          <c:idx val="0"/>
          <c:order val="0"/>
          <c:tx>
            <c:strRef>
              <c:f>'Pivot Table 1'!$AY$3:$AY$4</c:f>
              <c:strCache>
                <c:ptCount val="1"/>
                <c:pt idx="0">
                  <c:v>Card</c:v>
                </c:pt>
              </c:strCache>
            </c:strRef>
          </c:tx>
          <c:spPr>
            <a:solidFill>
              <a:schemeClr val="accent1"/>
            </a:solidFill>
            <a:ln>
              <a:solidFill>
                <a:schemeClr val="tx1">
                  <a:lumMod val="85000"/>
                  <a:lumOff val="15000"/>
                </a:schemeClr>
              </a:solidFill>
            </a:ln>
            <a:effectLst/>
          </c:spPr>
          <c:invertIfNegative val="0"/>
          <c:dLbls>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1'!$AX$5:$AX$9</c:f>
              <c:strCache>
                <c:ptCount val="5"/>
                <c:pt idx="0">
                  <c:v>Beachside</c:v>
                </c:pt>
                <c:pt idx="1">
                  <c:v>Downtown</c:v>
                </c:pt>
                <c:pt idx="2">
                  <c:v>Midtown</c:v>
                </c:pt>
                <c:pt idx="3">
                  <c:v>Suburb</c:v>
                </c:pt>
                <c:pt idx="4">
                  <c:v>Uptown</c:v>
                </c:pt>
              </c:strCache>
            </c:strRef>
          </c:cat>
          <c:val>
            <c:numRef>
              <c:f>'Pivot Table 1'!$AY$5:$AY$9</c:f>
              <c:numCache>
                <c:formatCode>General</c:formatCode>
                <c:ptCount val="5"/>
                <c:pt idx="0">
                  <c:v>33</c:v>
                </c:pt>
                <c:pt idx="1">
                  <c:v>26</c:v>
                </c:pt>
                <c:pt idx="2">
                  <c:v>42</c:v>
                </c:pt>
                <c:pt idx="3">
                  <c:v>39</c:v>
                </c:pt>
                <c:pt idx="4">
                  <c:v>38</c:v>
                </c:pt>
              </c:numCache>
            </c:numRef>
          </c:val>
          <c:extLst>
            <c:ext xmlns:c16="http://schemas.microsoft.com/office/drawing/2014/chart" uri="{C3380CC4-5D6E-409C-BE32-E72D297353CC}">
              <c16:uniqueId val="{00000000-C44A-4C29-8AA3-184C097F1AC5}"/>
            </c:ext>
          </c:extLst>
        </c:ser>
        <c:ser>
          <c:idx val="1"/>
          <c:order val="1"/>
          <c:tx>
            <c:strRef>
              <c:f>'Pivot Table 1'!$AZ$3:$AZ$4</c:f>
              <c:strCache>
                <c:ptCount val="1"/>
                <c:pt idx="0">
                  <c:v>Cash</c:v>
                </c:pt>
              </c:strCache>
            </c:strRef>
          </c:tx>
          <c:spPr>
            <a:solidFill>
              <a:schemeClr val="accent2"/>
            </a:solidFill>
            <a:ln>
              <a:solidFill>
                <a:schemeClr val="tx1">
                  <a:lumMod val="85000"/>
                  <a:lumOff val="15000"/>
                </a:schemeClr>
              </a:solidFill>
            </a:ln>
            <a:effectLst/>
          </c:spPr>
          <c:invertIfNegative val="0"/>
          <c:dLbls>
            <c:spPr>
              <a:solidFill>
                <a:srgbClr val="FFF8E7"/>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4E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1'!$AX$5:$AX$9</c:f>
              <c:strCache>
                <c:ptCount val="5"/>
                <c:pt idx="0">
                  <c:v>Beachside</c:v>
                </c:pt>
                <c:pt idx="1">
                  <c:v>Downtown</c:v>
                </c:pt>
                <c:pt idx="2">
                  <c:v>Midtown</c:v>
                </c:pt>
                <c:pt idx="3">
                  <c:v>Suburb</c:v>
                </c:pt>
                <c:pt idx="4">
                  <c:v>Uptown</c:v>
                </c:pt>
              </c:strCache>
            </c:strRef>
          </c:cat>
          <c:val>
            <c:numRef>
              <c:f>'Pivot Table 1'!$AZ$5:$AZ$9</c:f>
              <c:numCache>
                <c:formatCode>General</c:formatCode>
                <c:ptCount val="5"/>
                <c:pt idx="0">
                  <c:v>39</c:v>
                </c:pt>
                <c:pt idx="1">
                  <c:v>43</c:v>
                </c:pt>
                <c:pt idx="2">
                  <c:v>36</c:v>
                </c:pt>
                <c:pt idx="3">
                  <c:v>38</c:v>
                </c:pt>
                <c:pt idx="4">
                  <c:v>55</c:v>
                </c:pt>
              </c:numCache>
            </c:numRef>
          </c:val>
          <c:extLst>
            <c:ext xmlns:c16="http://schemas.microsoft.com/office/drawing/2014/chart" uri="{C3380CC4-5D6E-409C-BE32-E72D297353CC}">
              <c16:uniqueId val="{00000001-C44A-4C29-8AA3-184C097F1AC5}"/>
            </c:ext>
          </c:extLst>
        </c:ser>
        <c:ser>
          <c:idx val="2"/>
          <c:order val="2"/>
          <c:tx>
            <c:strRef>
              <c:f>'Pivot Table 1'!$BA$3:$BA$4</c:f>
              <c:strCache>
                <c:ptCount val="1"/>
                <c:pt idx="0">
                  <c:v>UPI</c:v>
                </c:pt>
              </c:strCache>
            </c:strRef>
          </c:tx>
          <c:spPr>
            <a:solidFill>
              <a:schemeClr val="accent3"/>
            </a:solidFill>
            <a:ln>
              <a:solidFill>
                <a:schemeClr val="tx1">
                  <a:lumMod val="85000"/>
                  <a:lumOff val="15000"/>
                </a:schemeClr>
              </a:solidFill>
            </a:ln>
            <a:effectLst/>
          </c:spPr>
          <c:invertIfNegative val="0"/>
          <c:dLbls>
            <c:spPr>
              <a:solidFill>
                <a:srgbClr val="FFF8E7"/>
              </a:solid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1'!$AX$5:$AX$9</c:f>
              <c:strCache>
                <c:ptCount val="5"/>
                <c:pt idx="0">
                  <c:v>Beachside</c:v>
                </c:pt>
                <c:pt idx="1">
                  <c:v>Downtown</c:v>
                </c:pt>
                <c:pt idx="2">
                  <c:v>Midtown</c:v>
                </c:pt>
                <c:pt idx="3">
                  <c:v>Suburb</c:v>
                </c:pt>
                <c:pt idx="4">
                  <c:v>Uptown</c:v>
                </c:pt>
              </c:strCache>
            </c:strRef>
          </c:cat>
          <c:val>
            <c:numRef>
              <c:f>'Pivot Table 1'!$BA$5:$BA$9</c:f>
              <c:numCache>
                <c:formatCode>General</c:formatCode>
                <c:ptCount val="5"/>
                <c:pt idx="0">
                  <c:v>43</c:v>
                </c:pt>
                <c:pt idx="1">
                  <c:v>34</c:v>
                </c:pt>
                <c:pt idx="2">
                  <c:v>50</c:v>
                </c:pt>
                <c:pt idx="3">
                  <c:v>30</c:v>
                </c:pt>
                <c:pt idx="4">
                  <c:v>39</c:v>
                </c:pt>
              </c:numCache>
            </c:numRef>
          </c:val>
          <c:extLst>
            <c:ext xmlns:c16="http://schemas.microsoft.com/office/drawing/2014/chart" uri="{C3380CC4-5D6E-409C-BE32-E72D297353CC}">
              <c16:uniqueId val="{00000002-C44A-4C29-8AA3-184C097F1AC5}"/>
            </c:ext>
          </c:extLst>
        </c:ser>
        <c:dLbls>
          <c:dLblPos val="outEnd"/>
          <c:showLegendKey val="0"/>
          <c:showVal val="1"/>
          <c:showCatName val="0"/>
          <c:showSerName val="0"/>
          <c:showPercent val="0"/>
          <c:showBubbleSize val="0"/>
        </c:dLbls>
        <c:gapWidth val="219"/>
        <c:overlap val="-27"/>
        <c:axId val="1798913455"/>
        <c:axId val="1798915535"/>
      </c:barChart>
      <c:catAx>
        <c:axId val="1798913455"/>
        <c:scaling>
          <c:orientation val="minMax"/>
        </c:scaling>
        <c:delete val="0"/>
        <c:axPos val="b"/>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798915535"/>
        <c:crosses val="autoZero"/>
        <c:auto val="1"/>
        <c:lblAlgn val="ctr"/>
        <c:lblOffset val="100"/>
        <c:noMultiLvlLbl val="0"/>
      </c:catAx>
      <c:valAx>
        <c:axId val="1798915535"/>
        <c:scaling>
          <c:orientation val="minMax"/>
        </c:scaling>
        <c:delete val="0"/>
        <c:axPos val="l"/>
        <c:numFmt formatCode="General" sourceLinked="1"/>
        <c:majorTickMark val="none"/>
        <c:minorTickMark val="none"/>
        <c:tickLblPos val="nextTo"/>
        <c:spPr>
          <a:noFill/>
          <a:ln>
            <a:solidFill>
              <a:schemeClr val="tx1">
                <a:lumMod val="85000"/>
                <a:lumOff val="15000"/>
              </a:schemeClr>
            </a:solidFill>
          </a:ln>
          <a:effectLst/>
        </c:spPr>
        <c:txPr>
          <a:bodyPr rot="-6000000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crossAx val="1798913455"/>
        <c:crosses val="autoZero"/>
        <c:crossBetween val="between"/>
      </c:valAx>
      <c:spPr>
        <a:solidFill>
          <a:srgbClr val="FFF8E7"/>
        </a:solidFill>
        <a:ln>
          <a:noFill/>
        </a:ln>
        <a:effectLst/>
      </c:spPr>
    </c:plotArea>
    <c:legend>
      <c:legendPos val="t"/>
      <c:overlay val="0"/>
      <c:spPr>
        <a:solidFill>
          <a:srgbClr val="FFF8E7"/>
        </a:solidFill>
        <a:ln>
          <a:solidFill>
            <a:schemeClr val="bg1">
              <a:lumMod val="50000"/>
            </a:schemeClr>
          </a:solidFill>
        </a:ln>
        <a:effectLst/>
      </c:spPr>
      <c:txPr>
        <a:bodyPr rot="0" spcFirstLastPara="1" vertOverflow="ellipsis" vert="horz" wrap="square" anchor="ctr" anchorCtr="1"/>
        <a:lstStyle/>
        <a:p>
          <a:pPr>
            <a:defRPr sz="1000" b="1" i="0" u="none" strike="noStrike" kern="1200" baseline="0">
              <a:solidFill>
                <a:srgbClr val="6B4E3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CC8F"/>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PROFITIBILITY!A1"/><Relationship Id="rId3" Type="http://schemas.openxmlformats.org/officeDocument/2006/relationships/image" Target="../media/image3.png"/><Relationship Id="rId7" Type="http://schemas.openxmlformats.org/officeDocument/2006/relationships/hyperlink" Target="#'PRODUCT &amp; CATEGORY INSIGH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BRANCH &amp; REGION'!A1"/><Relationship Id="rId5" Type="http://schemas.openxmlformats.org/officeDocument/2006/relationships/hyperlink" Target="#'OVERALL PERFORMANCE'!A1"/><Relationship Id="rId10" Type="http://schemas.openxmlformats.org/officeDocument/2006/relationships/hyperlink" Target="#'KEY INSIGHTS'!A1"/><Relationship Id="rId4" Type="http://schemas.openxmlformats.org/officeDocument/2006/relationships/hyperlink" Target="#Dashboard!A1"/><Relationship Id="rId9" Type="http://schemas.openxmlformats.org/officeDocument/2006/relationships/hyperlink" Target="#'CUSTOMER &amp;PAYMENT INSIGHTS'!A1"/></Relationships>
</file>

<file path=xl/drawings/_rels/drawing3.xml.rels><?xml version="1.0" encoding="UTF-8" standalone="yes"?>
<Relationships xmlns="http://schemas.openxmlformats.org/package/2006/relationships"><Relationship Id="rId8" Type="http://schemas.openxmlformats.org/officeDocument/2006/relationships/hyperlink" Target="#'PRODUCT &amp; CATEGORY INSIGHTS'!A1"/><Relationship Id="rId3" Type="http://schemas.openxmlformats.org/officeDocument/2006/relationships/chart" Target="../charts/chart1.xml"/><Relationship Id="rId7" Type="http://schemas.openxmlformats.org/officeDocument/2006/relationships/hyperlink" Target="#'BRANCH &amp; REGION'!A1"/><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OVERALL PERFORMANCE'!A1"/><Relationship Id="rId11" Type="http://schemas.openxmlformats.org/officeDocument/2006/relationships/hyperlink" Target="#'KEY INSIGHTS'!A1"/><Relationship Id="rId5" Type="http://schemas.openxmlformats.org/officeDocument/2006/relationships/hyperlink" Target="#Dashboard!A1"/><Relationship Id="rId10" Type="http://schemas.openxmlformats.org/officeDocument/2006/relationships/hyperlink" Target="#'CUSTOMER &amp;PAYMENT INSIGHTS'!A1"/><Relationship Id="rId4" Type="http://schemas.openxmlformats.org/officeDocument/2006/relationships/image" Target="../media/image3.png"/><Relationship Id="rId9" Type="http://schemas.openxmlformats.org/officeDocument/2006/relationships/hyperlink" Target="#PROFITIBILITY!A1"/></Relationships>
</file>

<file path=xl/drawings/_rels/drawing4.xml.rels><?xml version="1.0" encoding="UTF-8" standalone="yes"?>
<Relationships xmlns="http://schemas.openxmlformats.org/package/2006/relationships"><Relationship Id="rId8" Type="http://schemas.openxmlformats.org/officeDocument/2006/relationships/hyperlink" Target="#'BRANCH &amp; REGION'!A1"/><Relationship Id="rId3" Type="http://schemas.openxmlformats.org/officeDocument/2006/relationships/image" Target="../media/image6.png"/><Relationship Id="rId7" Type="http://schemas.openxmlformats.org/officeDocument/2006/relationships/hyperlink" Target="#'OVERALL PERFORMANCE'!A1"/><Relationship Id="rId12" Type="http://schemas.openxmlformats.org/officeDocument/2006/relationships/hyperlink" Target="#'KEY INSIGHTS'!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Dashboard!A1"/><Relationship Id="rId11" Type="http://schemas.openxmlformats.org/officeDocument/2006/relationships/hyperlink" Target="#'CUSTOMER &amp;PAYMENT INSIGHTS'!A1"/><Relationship Id="rId5" Type="http://schemas.openxmlformats.org/officeDocument/2006/relationships/image" Target="../media/image8.png"/><Relationship Id="rId10" Type="http://schemas.openxmlformats.org/officeDocument/2006/relationships/hyperlink" Target="#PROFITIBILITY!A1"/><Relationship Id="rId4" Type="http://schemas.openxmlformats.org/officeDocument/2006/relationships/image" Target="../media/image7.svg"/><Relationship Id="rId9" Type="http://schemas.openxmlformats.org/officeDocument/2006/relationships/hyperlink" Target="#'PRODUCT &amp; CATEGORY INSIGHTS'!A1"/></Relationships>
</file>

<file path=xl/drawings/_rels/drawing5.xml.rels><?xml version="1.0" encoding="UTF-8" standalone="yes"?>
<Relationships xmlns="http://schemas.openxmlformats.org/package/2006/relationships"><Relationship Id="rId8" Type="http://schemas.openxmlformats.org/officeDocument/2006/relationships/hyperlink" Target="#'OVERALL PERFORMANCE'!A1"/><Relationship Id="rId13" Type="http://schemas.openxmlformats.org/officeDocument/2006/relationships/hyperlink" Target="#'KEY INSIGHTS'!A1"/><Relationship Id="rId3" Type="http://schemas.openxmlformats.org/officeDocument/2006/relationships/chart" Target="../charts/chart6.xml"/><Relationship Id="rId7" Type="http://schemas.openxmlformats.org/officeDocument/2006/relationships/hyperlink" Target="#Dashboard!A1"/><Relationship Id="rId12" Type="http://schemas.openxmlformats.org/officeDocument/2006/relationships/hyperlink" Target="#'CUSTOMER &amp;PAYMENT INSIGHTS'!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1.png"/><Relationship Id="rId11" Type="http://schemas.openxmlformats.org/officeDocument/2006/relationships/hyperlink" Target="#PROFITIBILITY!A1"/><Relationship Id="rId5" Type="http://schemas.openxmlformats.org/officeDocument/2006/relationships/image" Target="../media/image10.svg"/><Relationship Id="rId10" Type="http://schemas.openxmlformats.org/officeDocument/2006/relationships/hyperlink" Target="#'PRODUCT &amp; CATEGORY INSIGHTS'!A1"/><Relationship Id="rId4" Type="http://schemas.openxmlformats.org/officeDocument/2006/relationships/image" Target="../media/image9.png"/><Relationship Id="rId9" Type="http://schemas.openxmlformats.org/officeDocument/2006/relationships/hyperlink" Target="#'BRANCH &amp; REGION'!A1"/></Relationships>
</file>

<file path=xl/drawings/_rels/drawing6.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CUSTOMER &amp;PAYMENT INSIGHTS'!A1"/><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hyperlink" Target="#PROFITIBILITY!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4.svg"/><Relationship Id="rId11" Type="http://schemas.openxmlformats.org/officeDocument/2006/relationships/hyperlink" Target="#'PRODUCT &amp; CATEGORY INSIGHTS'!A1"/><Relationship Id="rId5" Type="http://schemas.openxmlformats.org/officeDocument/2006/relationships/image" Target="../media/image13.png"/><Relationship Id="rId10" Type="http://schemas.openxmlformats.org/officeDocument/2006/relationships/hyperlink" Target="#'BRANCH &amp; REGION'!A1"/><Relationship Id="rId4" Type="http://schemas.openxmlformats.org/officeDocument/2006/relationships/chart" Target="../charts/chart10.xml"/><Relationship Id="rId9" Type="http://schemas.openxmlformats.org/officeDocument/2006/relationships/hyperlink" Target="#'OVERALL PERFORMANCE'!A1"/><Relationship Id="rId14" Type="http://schemas.openxmlformats.org/officeDocument/2006/relationships/hyperlink" Target="#'KEY INSIGHTS'!A1"/></Relationships>
</file>

<file path=xl/drawings/_rels/drawing7.xml.rels><?xml version="1.0" encoding="UTF-8" standalone="yes"?>
<Relationships xmlns="http://schemas.openxmlformats.org/package/2006/relationships"><Relationship Id="rId8" Type="http://schemas.openxmlformats.org/officeDocument/2006/relationships/hyperlink" Target="#'BRANCH &amp; REGION'!A1"/><Relationship Id="rId3" Type="http://schemas.openxmlformats.org/officeDocument/2006/relationships/image" Target="../media/image15.png"/><Relationship Id="rId7" Type="http://schemas.openxmlformats.org/officeDocument/2006/relationships/hyperlink" Target="#'OVERALL PERFORMANCE'!A1"/><Relationship Id="rId12" Type="http://schemas.openxmlformats.org/officeDocument/2006/relationships/hyperlink" Target="#'KEY INSIGHTS'!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Dashboard!A1"/><Relationship Id="rId11" Type="http://schemas.openxmlformats.org/officeDocument/2006/relationships/hyperlink" Target="#'CUSTOMER &amp;PAYMENT INSIGHTS'!A1"/><Relationship Id="rId5" Type="http://schemas.openxmlformats.org/officeDocument/2006/relationships/image" Target="../media/image17.png"/><Relationship Id="rId10" Type="http://schemas.openxmlformats.org/officeDocument/2006/relationships/hyperlink" Target="#PROFITIBILITY!A1"/><Relationship Id="rId4" Type="http://schemas.openxmlformats.org/officeDocument/2006/relationships/image" Target="../media/image16.svg"/><Relationship Id="rId9" Type="http://schemas.openxmlformats.org/officeDocument/2006/relationships/hyperlink" Target="#'PRODUCT &amp; CATEGORY INSIGHTS'!A1"/></Relationships>
</file>

<file path=xl/drawings/_rels/drawing8.xml.rels><?xml version="1.0" encoding="UTF-8" standalone="yes"?>
<Relationships xmlns="http://schemas.openxmlformats.org/package/2006/relationships"><Relationship Id="rId8" Type="http://schemas.openxmlformats.org/officeDocument/2006/relationships/hyperlink" Target="#PROFITIBILITY!A1"/><Relationship Id="rId3" Type="http://schemas.openxmlformats.org/officeDocument/2006/relationships/image" Target="../media/image17.png"/><Relationship Id="rId7" Type="http://schemas.openxmlformats.org/officeDocument/2006/relationships/hyperlink" Target="#'PRODUCT &amp; CATEGORY INSIGHTS'!A1"/><Relationship Id="rId2" Type="http://schemas.openxmlformats.org/officeDocument/2006/relationships/image" Target="../media/image16.svg"/><Relationship Id="rId1" Type="http://schemas.openxmlformats.org/officeDocument/2006/relationships/image" Target="../media/image15.png"/><Relationship Id="rId6" Type="http://schemas.openxmlformats.org/officeDocument/2006/relationships/hyperlink" Target="#'BRANCH &amp; REGION'!A1"/><Relationship Id="rId5" Type="http://schemas.openxmlformats.org/officeDocument/2006/relationships/hyperlink" Target="#'OVERALL PERFORMANCE'!A1"/><Relationship Id="rId10" Type="http://schemas.openxmlformats.org/officeDocument/2006/relationships/hyperlink" Target="#'KEY INSIGHTS'!A1"/><Relationship Id="rId4" Type="http://schemas.openxmlformats.org/officeDocument/2006/relationships/hyperlink" Target="#Dashboard!A1"/><Relationship Id="rId9" Type="http://schemas.openxmlformats.org/officeDocument/2006/relationships/hyperlink" Target="#'CUSTOMER &amp;PAYMENT INSIGHTS'!A1"/></Relationships>
</file>

<file path=xl/drawings/drawing1.xml><?xml version="1.0" encoding="utf-8"?>
<xdr:wsDr xmlns:xdr="http://schemas.openxmlformats.org/drawingml/2006/spreadsheetDrawing" xmlns:a="http://schemas.openxmlformats.org/drawingml/2006/main">
  <xdr:twoCellAnchor>
    <xdr:from>
      <xdr:col>5</xdr:col>
      <xdr:colOff>59531</xdr:colOff>
      <xdr:row>0</xdr:row>
      <xdr:rowOff>116681</xdr:rowOff>
    </xdr:from>
    <xdr:to>
      <xdr:col>21</xdr:col>
      <xdr:colOff>173831</xdr:colOff>
      <xdr:row>5</xdr:row>
      <xdr:rowOff>88107</xdr:rowOff>
    </xdr:to>
    <xdr:sp macro="" textlink="">
      <xdr:nvSpPr>
        <xdr:cNvPr id="2" name="TextBox 1">
          <a:extLst>
            <a:ext uri="{FF2B5EF4-FFF2-40B4-BE49-F238E27FC236}">
              <a16:creationId xmlns:a16="http://schemas.microsoft.com/office/drawing/2014/main" id="{CBCC1A0F-C0C3-4567-8F83-35C37FA0E3C1}"/>
            </a:ext>
          </a:extLst>
        </xdr:cNvPr>
        <xdr:cNvSpPr txBox="1"/>
      </xdr:nvSpPr>
      <xdr:spPr>
        <a:xfrm>
          <a:off x="3095625" y="116681"/>
          <a:ext cx="9829800" cy="923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u="sng">
              <a:solidFill>
                <a:srgbClr val="0070C0"/>
              </a:solidFill>
            </a:rPr>
            <a:t>The Business Problem</a:t>
          </a:r>
        </a:p>
        <a:p>
          <a:pPr algn="ctr"/>
          <a:endParaRPr lang="en-US" sz="1200" b="1" u="sng">
            <a:solidFill>
              <a:srgbClr val="0070C0"/>
            </a:solidFill>
          </a:endParaRPr>
        </a:p>
        <a:p>
          <a:pPr algn="l"/>
          <a:r>
            <a:rPr lang="en-US" sz="1200" b="1" u="none">
              <a:solidFill>
                <a:srgbClr val="0070C0"/>
              </a:solidFill>
            </a:rPr>
            <a:t>The</a:t>
          </a:r>
          <a:r>
            <a:rPr lang="en-US" sz="1200" b="1" u="none" baseline="0">
              <a:solidFill>
                <a:srgbClr val="0070C0"/>
              </a:solidFill>
            </a:rPr>
            <a:t> BrewHeaven Coffee Store Ownar Has A Full1 Year Data (2025) And They Want To Know Their Current Business Standings Based On The Data. Also, On The Basis Of That Data Output's They Will Plan The Next Years Stategy's.</a:t>
          </a:r>
          <a:endParaRPr lang="en-US" sz="1200" b="1" u="none">
            <a:solidFill>
              <a:srgbClr val="0070C0"/>
            </a:solidFill>
          </a:endParaRPr>
        </a:p>
      </xdr:txBody>
    </xdr:sp>
    <xdr:clientData/>
  </xdr:twoCellAnchor>
  <xdr:twoCellAnchor>
    <xdr:from>
      <xdr:col>5</xdr:col>
      <xdr:colOff>69056</xdr:colOff>
      <xdr:row>6</xdr:row>
      <xdr:rowOff>88105</xdr:rowOff>
    </xdr:from>
    <xdr:to>
      <xdr:col>21</xdr:col>
      <xdr:colOff>173831</xdr:colOff>
      <xdr:row>50</xdr:row>
      <xdr:rowOff>35718</xdr:rowOff>
    </xdr:to>
    <xdr:sp macro="" textlink="">
      <xdr:nvSpPr>
        <xdr:cNvPr id="3" name="TextBox 2">
          <a:extLst>
            <a:ext uri="{FF2B5EF4-FFF2-40B4-BE49-F238E27FC236}">
              <a16:creationId xmlns:a16="http://schemas.microsoft.com/office/drawing/2014/main" id="{0E8E942B-9A42-475D-A354-3ECB231753CD}"/>
            </a:ext>
          </a:extLst>
        </xdr:cNvPr>
        <xdr:cNvSpPr txBox="1"/>
      </xdr:nvSpPr>
      <xdr:spPr>
        <a:xfrm>
          <a:off x="3105150" y="1231105"/>
          <a:ext cx="9820275" cy="8329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baseline="0">
              <a:solidFill>
                <a:srgbClr val="0070C0"/>
              </a:solidFill>
            </a:rPr>
            <a:t>Business Ownar's Querry's / The Dashboard Goals </a:t>
          </a:r>
          <a:r>
            <a:rPr lang="en-US" sz="1200" b="1" u="none" baseline="0">
              <a:solidFill>
                <a:srgbClr val="0070C0"/>
              </a:solidFill>
            </a:rPr>
            <a:t>-</a:t>
          </a:r>
          <a:endParaRPr lang="en-US" sz="1200" b="1" u="none">
            <a:solidFill>
              <a:srgbClr val="0070C0"/>
            </a:solidFill>
          </a:endParaRPr>
        </a:p>
        <a:p>
          <a:pPr algn="l"/>
          <a:r>
            <a:rPr lang="en-US" sz="1050"/>
            <a:t>1 . Overall Performance -</a:t>
          </a:r>
          <a:r>
            <a:rPr lang="en-US" sz="1050">
              <a:solidFill>
                <a:srgbClr val="92D050"/>
              </a:solidFill>
            </a:rPr>
            <a:t> </a:t>
          </a:r>
        </a:p>
        <a:p>
          <a:pPr lvl="1" algn="l"/>
          <a:r>
            <a:rPr lang="en-US" sz="1050"/>
            <a:t>- What Was The Total Annual Reveneue And Total Cup's Sold in 2025</a:t>
          </a:r>
          <a:r>
            <a:rPr lang="en-US" sz="1050" baseline="0"/>
            <a:t> ?</a:t>
          </a:r>
          <a:endParaRPr lang="en-US" sz="1050"/>
        </a:p>
        <a:p>
          <a:pPr lvl="1" algn="l"/>
          <a:r>
            <a:rPr lang="en-US" sz="1050"/>
            <a:t>- How Has The Mothly Sales Trend Been</a:t>
          </a:r>
          <a:r>
            <a:rPr lang="en-US" sz="1050" baseline="0"/>
            <a:t> ? (MONTHLY ITEM PURCHES)</a:t>
          </a:r>
        </a:p>
        <a:p>
          <a:pPr lvl="1" algn="l"/>
          <a:r>
            <a:rPr lang="en-US" sz="1050" baseline="0"/>
            <a:t>- Which Month Brought The Higest And The Lowest Sales ?</a:t>
          </a:r>
        </a:p>
        <a:p>
          <a:pPr lvl="1" algn="l"/>
          <a:endParaRPr lang="en-US" sz="1050" baseline="0"/>
        </a:p>
        <a:p>
          <a:r>
            <a:rPr lang="en-US" sz="1100">
              <a:solidFill>
                <a:schemeClr val="dk1"/>
              </a:solidFill>
              <a:effectLst/>
              <a:latin typeface="+mn-lt"/>
              <a:ea typeface="+mn-ea"/>
              <a:cs typeface="+mn-cs"/>
            </a:rPr>
            <a:t>2 . Branch</a:t>
          </a:r>
          <a:r>
            <a:rPr lang="en-US" sz="1100" baseline="0">
              <a:solidFill>
                <a:schemeClr val="dk1"/>
              </a:solidFill>
              <a:effectLst/>
              <a:latin typeface="+mn-lt"/>
              <a:ea typeface="+mn-ea"/>
              <a:cs typeface="+mn-cs"/>
            </a:rPr>
            <a:t> And Region Analysis </a:t>
          </a:r>
          <a:r>
            <a:rPr lang="en-US" sz="1100">
              <a:solidFill>
                <a:schemeClr val="dk1"/>
              </a:solidFill>
              <a:effectLst/>
              <a:latin typeface="+mn-lt"/>
              <a:ea typeface="+mn-ea"/>
              <a:cs typeface="+mn-cs"/>
            </a:rPr>
            <a:t>-</a:t>
          </a:r>
          <a:r>
            <a:rPr lang="en-US" sz="1100">
              <a:solidFill>
                <a:srgbClr val="92D050"/>
              </a:solidFill>
              <a:effectLst/>
              <a:latin typeface="+mn-lt"/>
              <a:ea typeface="+mn-ea"/>
              <a:cs typeface="+mn-cs"/>
            </a:rPr>
            <a:t> </a:t>
          </a:r>
          <a:endParaRPr lang="en-US" sz="1050">
            <a:solidFill>
              <a:srgbClr val="92D050"/>
            </a:solidFill>
            <a:effectLst/>
          </a:endParaRPr>
        </a:p>
        <a:p>
          <a:pPr lvl="1"/>
          <a:r>
            <a:rPr lang="en-US" sz="1100">
              <a:solidFill>
                <a:schemeClr val="dk1"/>
              </a:solidFill>
              <a:effectLst/>
              <a:latin typeface="+mn-lt"/>
              <a:ea typeface="+mn-ea"/>
              <a:cs typeface="+mn-cs"/>
            </a:rPr>
            <a:t>- Which Branch Earend</a:t>
          </a:r>
          <a:r>
            <a:rPr lang="en-US" sz="1100" baseline="0">
              <a:solidFill>
                <a:schemeClr val="dk1"/>
              </a:solidFill>
              <a:effectLst/>
              <a:latin typeface="+mn-lt"/>
              <a:ea typeface="+mn-ea"/>
              <a:cs typeface="+mn-cs"/>
            </a:rPr>
            <a:t> The Highest Total Reveneu This year? (Branch Wise Sales )</a:t>
          </a:r>
          <a:endParaRPr lang="en-US" sz="1050">
            <a:effectLst/>
          </a:endParaRPr>
        </a:p>
        <a:p>
          <a:pPr lvl="1"/>
          <a:r>
            <a:rPr lang="en-US" sz="1100">
              <a:solidFill>
                <a:schemeClr val="dk1"/>
              </a:solidFill>
              <a:effectLst/>
              <a:latin typeface="+mn-lt"/>
              <a:ea typeface="+mn-ea"/>
              <a:cs typeface="+mn-cs"/>
            </a:rPr>
            <a:t>- Which Region Contributed Most To The Total Sales</a:t>
          </a:r>
          <a:r>
            <a:rPr lang="en-US" sz="1100" baseline="0">
              <a:solidFill>
                <a:schemeClr val="dk1"/>
              </a:solidFill>
              <a:effectLst/>
              <a:latin typeface="+mn-lt"/>
              <a:ea typeface="+mn-ea"/>
              <a:cs typeface="+mn-cs"/>
            </a:rPr>
            <a:t> ? (region Wise Sales (amount)) </a:t>
          </a:r>
          <a:endParaRPr lang="en-US" sz="1050">
            <a:effectLst/>
          </a:endParaRPr>
        </a:p>
        <a:p>
          <a:pPr lvl="1"/>
          <a:r>
            <a:rPr lang="en-US" sz="1100" baseline="0">
              <a:solidFill>
                <a:schemeClr val="dk1"/>
              </a:solidFill>
              <a:effectLst/>
              <a:latin typeface="+mn-lt"/>
              <a:ea typeface="+mn-ea"/>
              <a:cs typeface="+mn-cs"/>
            </a:rPr>
            <a:t>- Are There Any Branches With Declined Sales Trends that needs Atttention ?</a:t>
          </a:r>
          <a:endParaRPr lang="en-US" sz="1050">
            <a:effectLst/>
          </a:endParaRPr>
        </a:p>
        <a:p>
          <a:pPr lvl="0" algn="l"/>
          <a:endParaRPr lang="en-US" sz="1050" baseline="0"/>
        </a:p>
        <a:p>
          <a:r>
            <a:rPr lang="en-US" sz="1100">
              <a:solidFill>
                <a:schemeClr val="dk1"/>
              </a:solidFill>
              <a:effectLst/>
              <a:latin typeface="+mn-lt"/>
              <a:ea typeface="+mn-ea"/>
              <a:cs typeface="+mn-cs"/>
            </a:rPr>
            <a:t>3 . Product And Category Insights </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 </a:t>
          </a:r>
          <a:endParaRPr lang="en-US" sz="1050">
            <a:solidFill>
              <a:schemeClr val="accent6"/>
            </a:solidFill>
            <a:effectLst/>
          </a:endParaRPr>
        </a:p>
        <a:p>
          <a:pPr lvl="1"/>
          <a:r>
            <a:rPr lang="en-US" sz="1100">
              <a:solidFill>
                <a:schemeClr val="dk1"/>
              </a:solidFill>
              <a:effectLst/>
              <a:latin typeface="+mn-lt"/>
              <a:ea typeface="+mn-ea"/>
              <a:cs typeface="+mn-cs"/>
            </a:rPr>
            <a:t>- Which Product Brought The Most Revenue </a:t>
          </a:r>
          <a:r>
            <a:rPr lang="en-US" sz="1100" baseline="0">
              <a:solidFill>
                <a:schemeClr val="dk1"/>
              </a:solidFill>
              <a:effectLst/>
              <a:latin typeface="+mn-lt"/>
              <a:ea typeface="+mn-ea"/>
              <a:cs typeface="+mn-cs"/>
            </a:rPr>
            <a:t>? </a:t>
          </a:r>
        </a:p>
        <a:p>
          <a:pPr lvl="1"/>
          <a:r>
            <a:rPr lang="en-US" sz="1100">
              <a:solidFill>
                <a:schemeClr val="dk1"/>
              </a:solidFill>
              <a:effectLst/>
              <a:latin typeface="+mn-lt"/>
              <a:ea typeface="+mn-ea"/>
              <a:cs typeface="+mn-cs"/>
            </a:rPr>
            <a:t>- What Are The Top 5 Best Selling Items By reveneue</a:t>
          </a:r>
          <a:r>
            <a:rPr lang="en-US" sz="1100" baseline="0">
              <a:solidFill>
                <a:schemeClr val="dk1"/>
              </a:solidFill>
              <a:effectLst/>
              <a:latin typeface="+mn-lt"/>
              <a:ea typeface="+mn-ea"/>
              <a:cs typeface="+mn-cs"/>
            </a:rPr>
            <a:t> And By Quantity Sold ? </a:t>
          </a:r>
        </a:p>
        <a:p>
          <a:pPr lvl="1"/>
          <a:r>
            <a:rPr lang="en-US" sz="1100" baseline="0">
              <a:solidFill>
                <a:schemeClr val="dk1"/>
              </a:solidFill>
              <a:effectLst/>
              <a:latin typeface="+mn-lt"/>
              <a:ea typeface="+mn-ea"/>
              <a:cs typeface="+mn-cs"/>
            </a:rPr>
            <a:t>- Which Product Category Performed best</a:t>
          </a:r>
        </a:p>
        <a:p>
          <a:pPr lvl="1"/>
          <a:r>
            <a:rPr lang="en-US" sz="1100" baseline="0">
              <a:solidFill>
                <a:schemeClr val="dk1"/>
              </a:solidFill>
              <a:effectLst/>
              <a:latin typeface="+mn-lt"/>
              <a:ea typeface="+mn-ea"/>
              <a:cs typeface="+mn-cs"/>
            </a:rPr>
            <a:t>- Are There Any Low Pefroming Products We Should Think To remove From The Menu ?</a:t>
          </a:r>
        </a:p>
        <a:p>
          <a:pPr lvl="1"/>
          <a:endParaRPr lang="en-US" sz="1050" baseline="0"/>
        </a:p>
        <a:p>
          <a:r>
            <a:rPr lang="en-US" sz="1100">
              <a:solidFill>
                <a:schemeClr val="dk1"/>
              </a:solidFill>
              <a:effectLst/>
              <a:latin typeface="+mn-lt"/>
              <a:ea typeface="+mn-ea"/>
              <a:cs typeface="+mn-cs"/>
            </a:rPr>
            <a:t>4 . Profitibility And Disscount Impact - </a:t>
          </a:r>
          <a:endParaRPr lang="en-US" sz="1050">
            <a:effectLst/>
          </a:endParaRPr>
        </a:p>
        <a:p>
          <a:pPr lvl="1"/>
          <a:r>
            <a:rPr lang="en-US" sz="1100">
              <a:solidFill>
                <a:schemeClr val="dk1"/>
              </a:solidFill>
              <a:effectLst/>
              <a:latin typeface="+mn-lt"/>
              <a:ea typeface="+mn-ea"/>
              <a:cs typeface="+mn-cs"/>
            </a:rPr>
            <a:t>- Which Category Or product GIves us Highest</a:t>
          </a:r>
          <a:r>
            <a:rPr lang="en-US" sz="1100" baseline="0">
              <a:solidFill>
                <a:schemeClr val="dk1"/>
              </a:solidFill>
              <a:effectLst/>
              <a:latin typeface="+mn-lt"/>
              <a:ea typeface="+mn-ea"/>
              <a:cs typeface="+mn-cs"/>
            </a:rPr>
            <a:t> Proift Margins  ?  </a:t>
          </a:r>
          <a:endParaRPr lang="en-US" sz="1050">
            <a:effectLst/>
          </a:endParaRPr>
        </a:p>
        <a:p>
          <a:pPr lvl="1"/>
          <a:r>
            <a:rPr lang="en-US" sz="1100">
              <a:solidFill>
                <a:schemeClr val="dk1"/>
              </a:solidFill>
              <a:effectLst/>
              <a:latin typeface="+mn-lt"/>
              <a:ea typeface="+mn-ea"/>
              <a:cs typeface="+mn-cs"/>
            </a:rPr>
            <a:t>- How Much profit Did We Make In Total And Whats The Average Profit Per Sale</a:t>
          </a:r>
          <a:r>
            <a:rPr lang="en-US" sz="1100" baseline="0">
              <a:solidFill>
                <a:schemeClr val="dk1"/>
              </a:solidFill>
              <a:effectLst/>
              <a:latin typeface="+mn-lt"/>
              <a:ea typeface="+mn-ea"/>
              <a:cs typeface="+mn-cs"/>
            </a:rPr>
            <a:t> ?  </a:t>
          </a:r>
        </a:p>
        <a:p>
          <a:pPr lvl="1"/>
          <a:r>
            <a:rPr lang="en-US" sz="1100" baseline="0">
              <a:solidFill>
                <a:schemeClr val="dk1"/>
              </a:solidFill>
              <a:effectLst/>
              <a:latin typeface="+mn-lt"/>
              <a:ea typeface="+mn-ea"/>
              <a:cs typeface="+mn-cs"/>
            </a:rPr>
            <a:t>- Are Disccounts Actually Incresed Our Sales Or Just Reducing Our Profits ? </a:t>
          </a:r>
        </a:p>
        <a:p>
          <a:pPr lvl="1"/>
          <a:r>
            <a:rPr lang="en-US" sz="1100" baseline="0">
              <a:solidFill>
                <a:schemeClr val="dk1"/>
              </a:solidFill>
              <a:effectLst/>
              <a:latin typeface="+mn-lt"/>
              <a:ea typeface="+mn-ea"/>
              <a:cs typeface="+mn-cs"/>
            </a:rPr>
            <a:t>- Which Branches Gives The Best Profit To revenue Ration ? </a:t>
          </a:r>
        </a:p>
        <a:p>
          <a:pPr lvl="1"/>
          <a:endParaRPr lang="en-US" sz="1050">
            <a:effectLst/>
          </a:endParaRPr>
        </a:p>
        <a:p>
          <a:r>
            <a:rPr lang="en-US" sz="1100">
              <a:solidFill>
                <a:schemeClr val="dk1"/>
              </a:solidFill>
              <a:effectLst/>
              <a:latin typeface="+mn-lt"/>
              <a:ea typeface="+mn-ea"/>
              <a:cs typeface="+mn-cs"/>
            </a:rPr>
            <a:t>5 . Customer And Payment Insights - </a:t>
          </a:r>
          <a:endParaRPr lang="en-US" sz="1050">
            <a:effectLst/>
          </a:endParaRPr>
        </a:p>
        <a:p>
          <a:pPr lvl="1"/>
          <a:r>
            <a:rPr lang="en-US" sz="1100">
              <a:solidFill>
                <a:schemeClr val="dk1"/>
              </a:solidFill>
              <a:effectLst/>
              <a:latin typeface="+mn-lt"/>
              <a:ea typeface="+mn-ea"/>
              <a:cs typeface="+mn-cs"/>
            </a:rPr>
            <a:t>- Which Payment Mode</a:t>
          </a:r>
          <a:r>
            <a:rPr lang="en-US" sz="1100" baseline="0">
              <a:solidFill>
                <a:schemeClr val="dk1"/>
              </a:solidFill>
              <a:effectLst/>
              <a:latin typeface="+mn-lt"/>
              <a:ea typeface="+mn-ea"/>
              <a:cs typeface="+mn-cs"/>
            </a:rPr>
            <a:t>  Used Most Often? </a:t>
          </a:r>
        </a:p>
        <a:p>
          <a:pPr lvl="1"/>
          <a:r>
            <a:rPr lang="en-US" sz="1100">
              <a:solidFill>
                <a:schemeClr val="dk1"/>
              </a:solidFill>
              <a:effectLst/>
              <a:latin typeface="+mn-lt"/>
              <a:ea typeface="+mn-ea"/>
              <a:cs typeface="+mn-cs"/>
            </a:rPr>
            <a:t>- Do Customer From Specific Region Prefer Specific Payment Type</a:t>
          </a:r>
          <a:r>
            <a:rPr lang="en-US" sz="1100" baseline="0">
              <a:solidFill>
                <a:schemeClr val="dk1"/>
              </a:solidFill>
              <a:effectLst/>
              <a:latin typeface="+mn-lt"/>
              <a:ea typeface="+mn-ea"/>
              <a:cs typeface="+mn-cs"/>
            </a:rPr>
            <a:t> ? </a:t>
          </a:r>
          <a:endParaRPr lang="en-US" sz="1050">
            <a:effectLst/>
          </a:endParaRPr>
        </a:p>
        <a:p>
          <a:pPr lvl="1"/>
          <a:r>
            <a:rPr lang="en-US" sz="1100" baseline="0">
              <a:solidFill>
                <a:schemeClr val="dk1"/>
              </a:solidFill>
              <a:effectLst/>
              <a:latin typeface="+mn-lt"/>
              <a:ea typeface="+mn-ea"/>
              <a:cs typeface="+mn-cs"/>
            </a:rPr>
            <a:t>- How Many Unique Customers We Servered This Year ?</a:t>
          </a:r>
        </a:p>
        <a:p>
          <a:pPr lvl="1"/>
          <a:r>
            <a:rPr lang="en-US" sz="1100" baseline="0">
              <a:solidFill>
                <a:schemeClr val="dk1"/>
              </a:solidFill>
              <a:effectLst/>
              <a:latin typeface="+mn-lt"/>
              <a:ea typeface="+mn-ea"/>
              <a:cs typeface="+mn-cs"/>
            </a:rPr>
            <a:t>- Which Customer Made The Most Frequent Purcheas's ? </a:t>
          </a:r>
        </a:p>
        <a:p>
          <a:pPr lvl="1"/>
          <a:endParaRPr lang="en-US" sz="1050">
            <a:effectLst/>
          </a:endParaRPr>
        </a:p>
        <a:p>
          <a:pPr lvl="0" algn="l"/>
          <a:endParaRPr lang="en-US" sz="1050" baseline="0"/>
        </a:p>
        <a:p>
          <a:r>
            <a:rPr lang="en-US" sz="1100">
              <a:solidFill>
                <a:schemeClr val="dk1"/>
              </a:solidFill>
              <a:effectLst/>
              <a:latin typeface="+mn-lt"/>
              <a:ea typeface="+mn-ea"/>
              <a:cs typeface="+mn-cs"/>
            </a:rPr>
            <a:t>6 . Seasonal</a:t>
          </a:r>
          <a:r>
            <a:rPr lang="en-US" sz="1100" baseline="0">
              <a:solidFill>
                <a:schemeClr val="dk1"/>
              </a:solidFill>
              <a:effectLst/>
              <a:latin typeface="+mn-lt"/>
              <a:ea typeface="+mn-ea"/>
              <a:cs typeface="+mn-cs"/>
            </a:rPr>
            <a:t> &amp; Offres Analysis </a:t>
          </a:r>
          <a:r>
            <a:rPr lang="en-US" sz="1100">
              <a:solidFill>
                <a:schemeClr val="dk1"/>
              </a:solidFill>
              <a:effectLst/>
              <a:latin typeface="+mn-lt"/>
              <a:ea typeface="+mn-ea"/>
              <a:cs typeface="+mn-cs"/>
            </a:rPr>
            <a:t>-</a:t>
          </a:r>
          <a:r>
            <a:rPr lang="en-US" sz="1100">
              <a:solidFill>
                <a:srgbClr val="FF0000"/>
              </a:solidFill>
              <a:effectLst/>
              <a:latin typeface="+mn-lt"/>
              <a:ea typeface="+mn-ea"/>
              <a:cs typeface="+mn-cs"/>
            </a:rPr>
            <a:t> </a:t>
          </a:r>
          <a:endParaRPr lang="en-US" sz="1050">
            <a:solidFill>
              <a:srgbClr val="FF0000"/>
            </a:solidFill>
            <a:effectLst/>
          </a:endParaRPr>
        </a:p>
        <a:p>
          <a:pPr lvl="1"/>
          <a:r>
            <a:rPr lang="en-US" sz="1100">
              <a:solidFill>
                <a:schemeClr val="dk1"/>
              </a:solidFill>
              <a:effectLst/>
              <a:latin typeface="+mn-lt"/>
              <a:ea typeface="+mn-ea"/>
              <a:cs typeface="+mn-cs"/>
            </a:rPr>
            <a:t>- How Did</a:t>
          </a:r>
          <a:r>
            <a:rPr lang="en-US" sz="1100" baseline="0">
              <a:solidFill>
                <a:schemeClr val="dk1"/>
              </a:solidFill>
              <a:effectLst/>
              <a:latin typeface="+mn-lt"/>
              <a:ea typeface="+mn-ea"/>
              <a:cs typeface="+mn-cs"/>
            </a:rPr>
            <a:t> The</a:t>
          </a:r>
          <a:r>
            <a:rPr lang="en-US" sz="1100">
              <a:solidFill>
                <a:schemeClr val="dk1"/>
              </a:solidFill>
              <a:effectLst/>
              <a:latin typeface="+mn-lt"/>
              <a:ea typeface="+mn-ea"/>
              <a:cs typeface="+mn-cs"/>
            </a:rPr>
            <a:t> festive Offer And Buy</a:t>
          </a:r>
          <a:r>
            <a:rPr lang="en-US" sz="1100" baseline="0">
              <a:solidFill>
                <a:schemeClr val="dk1"/>
              </a:solidFill>
              <a:effectLst/>
              <a:latin typeface="+mn-lt"/>
              <a:ea typeface="+mn-ea"/>
              <a:cs typeface="+mn-cs"/>
            </a:rPr>
            <a:t> 1 Get 1 Free Offer Impacted the Sales ? </a:t>
          </a:r>
          <a:endParaRPr lang="en-US" sz="1050">
            <a:effectLst/>
          </a:endParaRPr>
        </a:p>
        <a:p>
          <a:pPr lvl="1"/>
          <a:r>
            <a:rPr lang="en-US" sz="1100">
              <a:solidFill>
                <a:schemeClr val="dk1"/>
              </a:solidFill>
              <a:effectLst/>
              <a:latin typeface="+mn-lt"/>
              <a:ea typeface="+mn-ea"/>
              <a:cs typeface="+mn-cs"/>
            </a:rPr>
            <a:t>- Which Month or Festival</a:t>
          </a:r>
          <a:r>
            <a:rPr lang="en-US" sz="1100" baseline="0">
              <a:solidFill>
                <a:schemeClr val="dk1"/>
              </a:solidFill>
              <a:effectLst/>
              <a:latin typeface="+mn-lt"/>
              <a:ea typeface="+mn-ea"/>
              <a:cs typeface="+mn-cs"/>
            </a:rPr>
            <a:t> Brought Spikes In The Sale's Volumn ? </a:t>
          </a:r>
          <a:endParaRPr lang="en-US" sz="1050">
            <a:effectLst/>
          </a:endParaRPr>
        </a:p>
        <a:p>
          <a:pPr lvl="1"/>
          <a:r>
            <a:rPr lang="en-US" sz="1100" baseline="0">
              <a:solidFill>
                <a:schemeClr val="dk1"/>
              </a:solidFill>
              <a:effectLst/>
              <a:latin typeface="+mn-lt"/>
              <a:ea typeface="+mn-ea"/>
              <a:cs typeface="+mn-cs"/>
            </a:rPr>
            <a:t>- Are Weekends (sat Sun) Performaning Better than Weekdays ?</a:t>
          </a:r>
        </a:p>
        <a:p>
          <a:endParaRPr lang="en-US" sz="1100" baseline="0">
            <a:solidFill>
              <a:schemeClr val="dk1"/>
            </a:solidFill>
            <a:effectLst/>
            <a:latin typeface="+mn-lt"/>
            <a:ea typeface="+mn-ea"/>
            <a:cs typeface="+mn-cs"/>
          </a:endParaRPr>
        </a:p>
        <a:p>
          <a:r>
            <a:rPr lang="en-US" sz="1100">
              <a:solidFill>
                <a:schemeClr val="dk1"/>
              </a:solidFill>
              <a:effectLst/>
              <a:latin typeface="+mn-lt"/>
              <a:ea typeface="+mn-ea"/>
              <a:cs typeface="+mn-cs"/>
            </a:rPr>
            <a:t>7 . Kpi Metrix</a:t>
          </a:r>
          <a:r>
            <a:rPr lang="en-US" sz="1100" baseline="0">
              <a:solidFill>
                <a:schemeClr val="dk1"/>
              </a:solidFill>
              <a:effectLst/>
              <a:latin typeface="+mn-lt"/>
              <a:ea typeface="+mn-ea"/>
              <a:cs typeface="+mn-cs"/>
            </a:rPr>
            <a:t> To Show On Dashboards</a:t>
          </a:r>
          <a:r>
            <a:rPr lang="en-US" sz="1100">
              <a:solidFill>
                <a:schemeClr val="dk1"/>
              </a:solidFill>
              <a:effectLst/>
              <a:latin typeface="+mn-lt"/>
              <a:ea typeface="+mn-ea"/>
              <a:cs typeface="+mn-cs"/>
            </a:rPr>
            <a:t>-</a:t>
          </a:r>
          <a:endParaRPr lang="en-US">
            <a:effectLst/>
          </a:endParaRPr>
        </a:p>
        <a:p>
          <a:pPr lvl="1"/>
          <a:r>
            <a:rPr lang="en-US" sz="1100">
              <a:solidFill>
                <a:schemeClr val="dk1"/>
              </a:solidFill>
              <a:effectLst/>
              <a:latin typeface="+mn-lt"/>
              <a:ea typeface="+mn-ea"/>
              <a:cs typeface="+mn-cs"/>
            </a:rPr>
            <a:t>- Total Anuual Revenue </a:t>
          </a:r>
          <a:endParaRPr lang="en-US">
            <a:effectLst/>
          </a:endParaRPr>
        </a:p>
        <a:p>
          <a:pPr lvl="1"/>
          <a:r>
            <a:rPr lang="en-US" sz="1100">
              <a:solidFill>
                <a:schemeClr val="dk1"/>
              </a:solidFill>
              <a:effectLst/>
              <a:latin typeface="+mn-lt"/>
              <a:ea typeface="+mn-ea"/>
              <a:cs typeface="+mn-cs"/>
            </a:rPr>
            <a:t>- Total Profit </a:t>
          </a:r>
          <a:endParaRPr lang="en-US">
            <a:effectLst/>
          </a:endParaRPr>
        </a:p>
        <a:p>
          <a:pPr lvl="1"/>
          <a:r>
            <a:rPr lang="en-US" sz="1100" baseline="0">
              <a:solidFill>
                <a:schemeClr val="dk1"/>
              </a:solidFill>
              <a:effectLst/>
              <a:latin typeface="+mn-lt"/>
              <a:ea typeface="+mn-ea"/>
              <a:cs typeface="+mn-cs"/>
            </a:rPr>
            <a:t>- Average Disscount </a:t>
          </a:r>
        </a:p>
        <a:p>
          <a:pPr lvl="1"/>
          <a:r>
            <a:rPr lang="en-US" sz="1100" baseline="0">
              <a:solidFill>
                <a:schemeClr val="dk1"/>
              </a:solidFill>
              <a:effectLst/>
              <a:latin typeface="+mn-lt"/>
              <a:ea typeface="+mn-ea"/>
              <a:cs typeface="+mn-cs"/>
            </a:rPr>
            <a:t>- Top 5 Products By revenue </a:t>
          </a:r>
        </a:p>
        <a:p>
          <a:pPr lvl="1"/>
          <a:r>
            <a:rPr lang="en-US" sz="1100" baseline="0">
              <a:solidFill>
                <a:schemeClr val="dk1"/>
              </a:solidFill>
              <a:effectLst/>
              <a:latin typeface="+mn-lt"/>
              <a:ea typeface="+mn-ea"/>
              <a:cs typeface="+mn-cs"/>
            </a:rPr>
            <a:t>- Top 3 Branches By Sales</a:t>
          </a:r>
        </a:p>
        <a:p>
          <a:pPr lvl="1"/>
          <a:r>
            <a:rPr lang="en-US" sz="1100" baseline="0">
              <a:solidFill>
                <a:schemeClr val="dk1"/>
              </a:solidFill>
              <a:effectLst/>
              <a:latin typeface="+mn-lt"/>
              <a:ea typeface="+mn-ea"/>
              <a:cs typeface="+mn-cs"/>
            </a:rPr>
            <a:t>- Monthly Sales Trend </a:t>
          </a:r>
        </a:p>
        <a:p>
          <a:pPr lvl="1"/>
          <a:r>
            <a:rPr lang="en-US" sz="1100" baseline="0">
              <a:solidFill>
                <a:schemeClr val="dk1"/>
              </a:solidFill>
              <a:effectLst/>
              <a:latin typeface="+mn-lt"/>
              <a:ea typeface="+mn-ea"/>
              <a:cs typeface="+mn-cs"/>
            </a:rPr>
            <a:t>- Payment Mode Disstribution </a:t>
          </a:r>
        </a:p>
        <a:p>
          <a:pPr lvl="1"/>
          <a:r>
            <a:rPr lang="en-US" sz="1100" baseline="0">
              <a:solidFill>
                <a:schemeClr val="dk1"/>
              </a:solidFill>
              <a:effectLst/>
              <a:latin typeface="+mn-lt"/>
              <a:ea typeface="+mn-ea"/>
              <a:cs typeface="+mn-cs"/>
            </a:rPr>
            <a:t>- Category Wise reveneue &amp; Pofit </a:t>
          </a:r>
        </a:p>
        <a:p>
          <a:pPr lvl="1"/>
          <a:r>
            <a:rPr lang="en-US" sz="1100" baseline="0">
              <a:solidFill>
                <a:schemeClr val="dk1"/>
              </a:solidFill>
              <a:effectLst/>
              <a:latin typeface="+mn-lt"/>
              <a:ea typeface="+mn-ea"/>
              <a:cs typeface="+mn-cs"/>
            </a:rPr>
            <a:t>- Profit Margin % By Branch</a:t>
          </a:r>
          <a:endParaRPr lang="en-US">
            <a:effectLst/>
          </a:endParaRPr>
        </a:p>
        <a:p>
          <a:endParaRPr lang="en-US" sz="1100" baseline="0">
            <a:solidFill>
              <a:schemeClr val="dk1"/>
            </a:solidFill>
            <a:effectLst/>
            <a:latin typeface="+mn-lt"/>
            <a:ea typeface="+mn-ea"/>
            <a:cs typeface="+mn-cs"/>
          </a:endParaRPr>
        </a:p>
        <a:p>
          <a:endParaRPr lang="en-US" sz="1050">
            <a:effectLst/>
          </a:endParaRPr>
        </a:p>
        <a:p>
          <a:pPr lvl="0" algn="l"/>
          <a:endParaRPr lang="en-US" sz="105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0</xdr:row>
      <xdr:rowOff>95252</xdr:rowOff>
    </xdr:from>
    <xdr:to>
      <xdr:col>20</xdr:col>
      <xdr:colOff>504824</xdr:colOff>
      <xdr:row>30</xdr:row>
      <xdr:rowOff>85725</xdr:rowOff>
    </xdr:to>
    <xdr:sp macro="" textlink="">
      <xdr:nvSpPr>
        <xdr:cNvPr id="2" name="Rectangle: Rounded Corners 1">
          <a:extLst>
            <a:ext uri="{FF2B5EF4-FFF2-40B4-BE49-F238E27FC236}">
              <a16:creationId xmlns:a16="http://schemas.microsoft.com/office/drawing/2014/main" id="{4D454CE3-CAC2-4318-A422-2677D3ADD7EF}"/>
            </a:ext>
          </a:extLst>
        </xdr:cNvPr>
        <xdr:cNvSpPr/>
      </xdr:nvSpPr>
      <xdr:spPr>
        <a:xfrm>
          <a:off x="95249" y="95252"/>
          <a:ext cx="12601575" cy="5705473"/>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352426</xdr:colOff>
      <xdr:row>0</xdr:row>
      <xdr:rowOff>104776</xdr:rowOff>
    </xdr:from>
    <xdr:to>
      <xdr:col>20</xdr:col>
      <xdr:colOff>495300</xdr:colOff>
      <xdr:row>30</xdr:row>
      <xdr:rowOff>38100</xdr:rowOff>
    </xdr:to>
    <xdr:sp macro="" textlink="">
      <xdr:nvSpPr>
        <xdr:cNvPr id="3" name="Rectangle: Rounded Corners 2">
          <a:extLst>
            <a:ext uri="{FF2B5EF4-FFF2-40B4-BE49-F238E27FC236}">
              <a16:creationId xmlns:a16="http://schemas.microsoft.com/office/drawing/2014/main" id="{F1D28E03-57A4-4A33-B2E9-A85FD21F532A}"/>
            </a:ext>
          </a:extLst>
        </xdr:cNvPr>
        <xdr:cNvSpPr/>
      </xdr:nvSpPr>
      <xdr:spPr>
        <a:xfrm>
          <a:off x="1571626" y="104776"/>
          <a:ext cx="11115674" cy="5648324"/>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552449</xdr:colOff>
      <xdr:row>1</xdr:row>
      <xdr:rowOff>95343</xdr:rowOff>
    </xdr:from>
    <xdr:to>
      <xdr:col>11</xdr:col>
      <xdr:colOff>31799</xdr:colOff>
      <xdr:row>5</xdr:row>
      <xdr:rowOff>90690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9F79287-CB9C-4BC7-94BF-AEE9CA9F03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71649" y="285843"/>
              <a:ext cx="4965750" cy="757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1</xdr:row>
      <xdr:rowOff>95267</xdr:rowOff>
    </xdr:from>
    <xdr:to>
      <xdr:col>20</xdr:col>
      <xdr:colOff>190500</xdr:colOff>
      <xdr:row>5</xdr:row>
      <xdr:rowOff>96625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3579AB0-549F-4387-A599-38A7E53A65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15150" y="285767"/>
              <a:ext cx="5467350" cy="763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561975</xdr:colOff>
      <xdr:row>6</xdr:row>
      <xdr:rowOff>29781</xdr:rowOff>
    </xdr:from>
    <xdr:to>
      <xdr:col>20</xdr:col>
      <xdr:colOff>190500</xdr:colOff>
      <xdr:row>9</xdr:row>
      <xdr:rowOff>126219</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38456BC9-4A9B-42AA-8729-1DF889D12C9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81175" y="1172781"/>
              <a:ext cx="10601325" cy="667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10</xdr:row>
      <xdr:rowOff>108833</xdr:rowOff>
    </xdr:from>
    <xdr:to>
      <xdr:col>3</xdr:col>
      <xdr:colOff>419101</xdr:colOff>
      <xdr:row>12</xdr:row>
      <xdr:rowOff>166764</xdr:rowOff>
    </xdr:to>
    <xdr:pic>
      <xdr:nvPicPr>
        <xdr:cNvPr id="8" name="Graphic 7" descr="Bar graph with upward trend with solid fill">
          <a:extLst>
            <a:ext uri="{FF2B5EF4-FFF2-40B4-BE49-F238E27FC236}">
              <a16:creationId xmlns:a16="http://schemas.microsoft.com/office/drawing/2014/main" id="{1308F4D2-DBEC-4594-9A39-867DBE0189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19275" y="2013833"/>
          <a:ext cx="428626" cy="438931"/>
        </a:xfrm>
        <a:prstGeom prst="rect">
          <a:avLst/>
        </a:prstGeom>
      </xdr:spPr>
    </xdr:pic>
    <xdr:clientData/>
  </xdr:twoCellAnchor>
  <xdr:twoCellAnchor>
    <xdr:from>
      <xdr:col>3</xdr:col>
      <xdr:colOff>495299</xdr:colOff>
      <xdr:row>10</xdr:row>
      <xdr:rowOff>108661</xdr:rowOff>
    </xdr:from>
    <xdr:to>
      <xdr:col>7</xdr:col>
      <xdr:colOff>333375</xdr:colOff>
      <xdr:row>12</xdr:row>
      <xdr:rowOff>180374</xdr:rowOff>
    </xdr:to>
    <xdr:sp macro="" textlink="">
      <xdr:nvSpPr>
        <xdr:cNvPr id="9" name="Rectangle: Rounded Corners 8">
          <a:extLst>
            <a:ext uri="{FF2B5EF4-FFF2-40B4-BE49-F238E27FC236}">
              <a16:creationId xmlns:a16="http://schemas.microsoft.com/office/drawing/2014/main" id="{0E0B79A0-3A3A-4B30-BB8F-D5E331644229}"/>
            </a:ext>
          </a:extLst>
        </xdr:cNvPr>
        <xdr:cNvSpPr/>
      </xdr:nvSpPr>
      <xdr:spPr>
        <a:xfrm>
          <a:off x="2324099" y="2013661"/>
          <a:ext cx="2276476" cy="452713"/>
        </a:xfrm>
        <a:prstGeom prst="roundRect">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6B4E3D"/>
              </a:solidFill>
              <a:latin typeface="Times New Roman" panose="02020603050405020304" pitchFamily="18" charset="0"/>
              <a:cs typeface="Times New Roman" panose="02020603050405020304" pitchFamily="18" charset="0"/>
            </a:rPr>
            <a:t>BUSINESS</a:t>
          </a:r>
          <a:r>
            <a:rPr lang="en-US" sz="2000" b="1" baseline="0">
              <a:solidFill>
                <a:srgbClr val="6B4E3D"/>
              </a:solidFill>
              <a:latin typeface="Times New Roman" panose="02020603050405020304" pitchFamily="18" charset="0"/>
              <a:cs typeface="Times New Roman" panose="02020603050405020304" pitchFamily="18" charset="0"/>
            </a:rPr>
            <a:t> KPI'S</a:t>
          </a:r>
          <a:endParaRPr lang="en-US" sz="1400" b="1">
            <a:solidFill>
              <a:srgbClr val="6B4E3D"/>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553049</xdr:colOff>
      <xdr:row>15</xdr:row>
      <xdr:rowOff>114703</xdr:rowOff>
    </xdr:from>
    <xdr:to>
      <xdr:col>7</xdr:col>
      <xdr:colOff>501512</xdr:colOff>
      <xdr:row>19</xdr:row>
      <xdr:rowOff>85086</xdr:rowOff>
    </xdr:to>
    <xdr:sp macro="" textlink="">
      <xdr:nvSpPr>
        <xdr:cNvPr id="10" name="Rectangle: Rounded Corners 9">
          <a:extLst>
            <a:ext uri="{FF2B5EF4-FFF2-40B4-BE49-F238E27FC236}">
              <a16:creationId xmlns:a16="http://schemas.microsoft.com/office/drawing/2014/main" id="{51F271C5-FB03-4773-A7F0-F29E1E113DCB}"/>
            </a:ext>
          </a:extLst>
        </xdr:cNvPr>
        <xdr:cNvSpPr/>
      </xdr:nvSpPr>
      <xdr:spPr>
        <a:xfrm>
          <a:off x="1772249" y="2972203"/>
          <a:ext cx="2996463" cy="73238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161924</xdr:colOff>
      <xdr:row>15</xdr:row>
      <xdr:rowOff>144080</xdr:rowOff>
    </xdr:from>
    <xdr:to>
      <xdr:col>7</xdr:col>
      <xdr:colOff>428625</xdr:colOff>
      <xdr:row>19</xdr:row>
      <xdr:rowOff>50018</xdr:rowOff>
    </xdr:to>
    <xdr:sp macro="" textlink="">
      <xdr:nvSpPr>
        <xdr:cNvPr id="11" name="Rectangle: Rounded Corners 10">
          <a:extLst>
            <a:ext uri="{FF2B5EF4-FFF2-40B4-BE49-F238E27FC236}">
              <a16:creationId xmlns:a16="http://schemas.microsoft.com/office/drawing/2014/main" id="{9AE9E2ED-DAD7-4C37-BCBF-B5EE47CF4F49}"/>
            </a:ext>
          </a:extLst>
        </xdr:cNvPr>
        <xdr:cNvSpPr/>
      </xdr:nvSpPr>
      <xdr:spPr>
        <a:xfrm>
          <a:off x="1990724" y="3001580"/>
          <a:ext cx="2705101" cy="667938"/>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15</xdr:row>
      <xdr:rowOff>61921</xdr:rowOff>
    </xdr:from>
    <xdr:to>
      <xdr:col>7</xdr:col>
      <xdr:colOff>437092</xdr:colOff>
      <xdr:row>17</xdr:row>
      <xdr:rowOff>62600</xdr:rowOff>
    </xdr:to>
    <xdr:sp macro="" textlink="">
      <xdr:nvSpPr>
        <xdr:cNvPr id="12" name="Rectangle: Rounded Corners 11">
          <a:extLst>
            <a:ext uri="{FF2B5EF4-FFF2-40B4-BE49-F238E27FC236}">
              <a16:creationId xmlns:a16="http://schemas.microsoft.com/office/drawing/2014/main" id="{968962FA-6DC4-4CCE-A98B-61686F151F5C}"/>
            </a:ext>
          </a:extLst>
        </xdr:cNvPr>
        <xdr:cNvSpPr/>
      </xdr:nvSpPr>
      <xdr:spPr>
        <a:xfrm>
          <a:off x="2352675" y="2919421"/>
          <a:ext cx="2351617"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B4E3D"/>
              </a:solidFill>
            </a:rPr>
            <a:t>TOTAL</a:t>
          </a:r>
          <a:r>
            <a:rPr lang="en-US" sz="1400" b="1" baseline="0">
              <a:solidFill>
                <a:srgbClr val="6B4E3D"/>
              </a:solidFill>
            </a:rPr>
            <a:t> ANNUAL RENENEUE</a:t>
          </a:r>
          <a:endParaRPr lang="en-US" sz="1800" b="1">
            <a:solidFill>
              <a:srgbClr val="6B4E3D"/>
            </a:solidFill>
          </a:endParaRPr>
        </a:p>
      </xdr:txBody>
    </xdr:sp>
    <xdr:clientData/>
  </xdr:twoCellAnchor>
  <xdr:twoCellAnchor>
    <xdr:from>
      <xdr:col>3</xdr:col>
      <xdr:colOff>259293</xdr:colOff>
      <xdr:row>15</xdr:row>
      <xdr:rowOff>124358</xdr:rowOff>
    </xdr:from>
    <xdr:to>
      <xdr:col>4</xdr:col>
      <xdr:colOff>2117</xdr:colOff>
      <xdr:row>19</xdr:row>
      <xdr:rowOff>84366</xdr:rowOff>
    </xdr:to>
    <xdr:sp macro="" textlink="">
      <xdr:nvSpPr>
        <xdr:cNvPr id="13" name="Text Box 1">
          <a:extLst>
            <a:ext uri="{FF2B5EF4-FFF2-40B4-BE49-F238E27FC236}">
              <a16:creationId xmlns:a16="http://schemas.microsoft.com/office/drawing/2014/main" id="{B0FCDCDD-7A10-422A-BE6F-7D268C5F53D2}"/>
            </a:ext>
          </a:extLst>
        </xdr:cNvPr>
        <xdr:cNvSpPr txBox="1">
          <a:spLocks noChangeArrowheads="1"/>
        </xdr:cNvSpPr>
      </xdr:nvSpPr>
      <xdr:spPr bwMode="auto">
        <a:xfrm>
          <a:off x="2088093" y="2981858"/>
          <a:ext cx="35242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000" b="0" i="0" u="none" strike="noStrike" baseline="0">
              <a:solidFill>
                <a:srgbClr val="6B4E3D"/>
              </a:solidFill>
              <a:latin typeface="Calibri"/>
              <a:cs typeface="Calibri"/>
            </a:rPr>
            <a:t>₹</a:t>
          </a:r>
          <a:endParaRPr lang="en-US" sz="1100" b="0" i="0" u="none" strike="noStrike" baseline="0">
            <a:solidFill>
              <a:srgbClr val="6B4E3D"/>
            </a:solidFill>
            <a:latin typeface="Calibri"/>
            <a:cs typeface="Calibri"/>
          </a:endParaRPr>
        </a:p>
      </xdr:txBody>
    </xdr:sp>
    <xdr:clientData/>
  </xdr:twoCellAnchor>
  <xdr:twoCellAnchor>
    <xdr:from>
      <xdr:col>4</xdr:col>
      <xdr:colOff>325967</xdr:colOff>
      <xdr:row>17</xdr:row>
      <xdr:rowOff>26124</xdr:rowOff>
    </xdr:from>
    <xdr:to>
      <xdr:col>6</xdr:col>
      <xdr:colOff>463550</xdr:colOff>
      <xdr:row>19</xdr:row>
      <xdr:rowOff>11960</xdr:rowOff>
    </xdr:to>
    <xdr:sp macro="" textlink="">
      <xdr:nvSpPr>
        <xdr:cNvPr id="14" name="Rectangle: Rounded Corners 13">
          <a:extLst>
            <a:ext uri="{FF2B5EF4-FFF2-40B4-BE49-F238E27FC236}">
              <a16:creationId xmlns:a16="http://schemas.microsoft.com/office/drawing/2014/main" id="{C924B26D-6D30-4BF9-9E95-1BC5BB77692D}"/>
            </a:ext>
          </a:extLst>
        </xdr:cNvPr>
        <xdr:cNvSpPr/>
      </xdr:nvSpPr>
      <xdr:spPr>
        <a:xfrm>
          <a:off x="2764367" y="3264624"/>
          <a:ext cx="1356783"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6B4E3D"/>
              </a:solidFill>
            </a:rPr>
            <a:t>302930</a:t>
          </a:r>
          <a:endParaRPr lang="en-US" b="1">
            <a:solidFill>
              <a:srgbClr val="6B4E3D"/>
            </a:solidFill>
          </a:endParaRPr>
        </a:p>
      </xdr:txBody>
    </xdr:sp>
    <xdr:clientData/>
  </xdr:twoCellAnchor>
  <xdr:twoCellAnchor>
    <xdr:from>
      <xdr:col>14</xdr:col>
      <xdr:colOff>561975</xdr:colOff>
      <xdr:row>15</xdr:row>
      <xdr:rowOff>133753</xdr:rowOff>
    </xdr:from>
    <xdr:to>
      <xdr:col>19</xdr:col>
      <xdr:colOff>510438</xdr:colOff>
      <xdr:row>19</xdr:row>
      <xdr:rowOff>104136</xdr:rowOff>
    </xdr:to>
    <xdr:sp macro="" textlink="">
      <xdr:nvSpPr>
        <xdr:cNvPr id="50" name="Rectangle: Rounded Corners 49">
          <a:extLst>
            <a:ext uri="{FF2B5EF4-FFF2-40B4-BE49-F238E27FC236}">
              <a16:creationId xmlns:a16="http://schemas.microsoft.com/office/drawing/2014/main" id="{73DE37D0-328D-489D-9D9D-BE279FA2C2AD}"/>
            </a:ext>
          </a:extLst>
        </xdr:cNvPr>
        <xdr:cNvSpPr/>
      </xdr:nvSpPr>
      <xdr:spPr>
        <a:xfrm>
          <a:off x="9096375" y="2991253"/>
          <a:ext cx="2996463" cy="73238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161325</xdr:colOff>
      <xdr:row>15</xdr:row>
      <xdr:rowOff>171450</xdr:rowOff>
    </xdr:from>
    <xdr:to>
      <xdr:col>19</xdr:col>
      <xdr:colOff>428026</xdr:colOff>
      <xdr:row>19</xdr:row>
      <xdr:rowOff>76200</xdr:rowOff>
    </xdr:to>
    <xdr:sp macro="" textlink="">
      <xdr:nvSpPr>
        <xdr:cNvPr id="51" name="Rectangle: Rounded Corners 50">
          <a:extLst>
            <a:ext uri="{FF2B5EF4-FFF2-40B4-BE49-F238E27FC236}">
              <a16:creationId xmlns:a16="http://schemas.microsoft.com/office/drawing/2014/main" id="{CB8EE3F4-DDBB-499F-84C6-0AD965B67321}"/>
            </a:ext>
          </a:extLst>
        </xdr:cNvPr>
        <xdr:cNvSpPr/>
      </xdr:nvSpPr>
      <xdr:spPr>
        <a:xfrm>
          <a:off x="9305325" y="3028950"/>
          <a:ext cx="2705101" cy="66675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15</xdr:row>
      <xdr:rowOff>90496</xdr:rowOff>
    </xdr:from>
    <xdr:to>
      <xdr:col>19</xdr:col>
      <xdr:colOff>512693</xdr:colOff>
      <xdr:row>17</xdr:row>
      <xdr:rowOff>91175</xdr:rowOff>
    </xdr:to>
    <xdr:sp macro="" textlink="">
      <xdr:nvSpPr>
        <xdr:cNvPr id="52" name="Rectangle: Rounded Corners 51">
          <a:extLst>
            <a:ext uri="{FF2B5EF4-FFF2-40B4-BE49-F238E27FC236}">
              <a16:creationId xmlns:a16="http://schemas.microsoft.com/office/drawing/2014/main" id="{25999670-F302-4E7E-A1E8-AB0A098497C7}"/>
            </a:ext>
          </a:extLst>
        </xdr:cNvPr>
        <xdr:cNvSpPr/>
      </xdr:nvSpPr>
      <xdr:spPr>
        <a:xfrm>
          <a:off x="9658350" y="2947996"/>
          <a:ext cx="2436743"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B4E3D"/>
              </a:solidFill>
            </a:rPr>
            <a:t>TOTAL</a:t>
          </a:r>
          <a:r>
            <a:rPr lang="en-US" sz="1400" b="1" baseline="0">
              <a:solidFill>
                <a:srgbClr val="6B4E3D"/>
              </a:solidFill>
            </a:rPr>
            <a:t> PRODUCT SOLD (2025)</a:t>
          </a:r>
          <a:endParaRPr lang="en-US" sz="1800" b="1">
            <a:solidFill>
              <a:srgbClr val="6B4E3D"/>
            </a:solidFill>
          </a:endParaRPr>
        </a:p>
      </xdr:txBody>
    </xdr:sp>
    <xdr:clientData/>
  </xdr:twoCellAnchor>
  <xdr:twoCellAnchor>
    <xdr:from>
      <xdr:col>15</xdr:col>
      <xdr:colOff>268219</xdr:colOff>
      <xdr:row>15</xdr:row>
      <xdr:rowOff>143408</xdr:rowOff>
    </xdr:from>
    <xdr:to>
      <xdr:col>16</xdr:col>
      <xdr:colOff>11043</xdr:colOff>
      <xdr:row>19</xdr:row>
      <xdr:rowOff>103416</xdr:rowOff>
    </xdr:to>
    <xdr:sp macro="" textlink="">
      <xdr:nvSpPr>
        <xdr:cNvPr id="53" name="Text Box 1">
          <a:extLst>
            <a:ext uri="{FF2B5EF4-FFF2-40B4-BE49-F238E27FC236}">
              <a16:creationId xmlns:a16="http://schemas.microsoft.com/office/drawing/2014/main" id="{D7177A6F-04C5-41AF-BB5E-DF3AD27E9652}"/>
            </a:ext>
          </a:extLst>
        </xdr:cNvPr>
        <xdr:cNvSpPr txBox="1">
          <a:spLocks noChangeArrowheads="1"/>
        </xdr:cNvSpPr>
      </xdr:nvSpPr>
      <xdr:spPr bwMode="auto">
        <a:xfrm>
          <a:off x="9412219" y="3000908"/>
          <a:ext cx="35242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000" b="0" i="0" u="none" strike="noStrike" baseline="0">
              <a:solidFill>
                <a:srgbClr val="6B4E3D"/>
              </a:solidFill>
              <a:latin typeface="Calibri"/>
              <a:cs typeface="Calibri"/>
            </a:rPr>
            <a:t>₹</a:t>
          </a:r>
          <a:endParaRPr lang="en-US" sz="1100" b="0" i="0" u="none" strike="noStrike" baseline="0">
            <a:solidFill>
              <a:srgbClr val="6B4E3D"/>
            </a:solidFill>
            <a:latin typeface="Calibri"/>
            <a:cs typeface="Calibri"/>
          </a:endParaRPr>
        </a:p>
      </xdr:txBody>
    </xdr:sp>
    <xdr:clientData/>
  </xdr:twoCellAnchor>
  <xdr:twoCellAnchor>
    <xdr:from>
      <xdr:col>16</xdr:col>
      <xdr:colOff>334893</xdr:colOff>
      <xdr:row>17</xdr:row>
      <xdr:rowOff>45174</xdr:rowOff>
    </xdr:from>
    <xdr:to>
      <xdr:col>18</xdr:col>
      <xdr:colOff>472476</xdr:colOff>
      <xdr:row>19</xdr:row>
      <xdr:rowOff>31010</xdr:rowOff>
    </xdr:to>
    <xdr:sp macro="" textlink="">
      <xdr:nvSpPr>
        <xdr:cNvPr id="54" name="Rectangle: Rounded Corners 53">
          <a:extLst>
            <a:ext uri="{FF2B5EF4-FFF2-40B4-BE49-F238E27FC236}">
              <a16:creationId xmlns:a16="http://schemas.microsoft.com/office/drawing/2014/main" id="{27014789-9897-4095-AADD-E3BD91B64521}"/>
            </a:ext>
          </a:extLst>
        </xdr:cNvPr>
        <xdr:cNvSpPr/>
      </xdr:nvSpPr>
      <xdr:spPr>
        <a:xfrm>
          <a:off x="10088493" y="3283674"/>
          <a:ext cx="1356783"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6B4E3D"/>
              </a:solidFill>
            </a:rPr>
            <a:t>2186</a:t>
          </a:r>
        </a:p>
      </xdr:txBody>
    </xdr:sp>
    <xdr:clientData/>
  </xdr:twoCellAnchor>
  <xdr:twoCellAnchor>
    <xdr:from>
      <xdr:col>9</xdr:col>
      <xdr:colOff>0</xdr:colOff>
      <xdr:row>15</xdr:row>
      <xdr:rowOff>114703</xdr:rowOff>
    </xdr:from>
    <xdr:to>
      <xdr:col>13</xdr:col>
      <xdr:colOff>558063</xdr:colOff>
      <xdr:row>19</xdr:row>
      <xdr:rowOff>85086</xdr:rowOff>
    </xdr:to>
    <xdr:sp macro="" textlink="">
      <xdr:nvSpPr>
        <xdr:cNvPr id="55" name="Rectangle: Rounded Corners 54">
          <a:extLst>
            <a:ext uri="{FF2B5EF4-FFF2-40B4-BE49-F238E27FC236}">
              <a16:creationId xmlns:a16="http://schemas.microsoft.com/office/drawing/2014/main" id="{4347D8E4-6747-4438-A78C-817152CDC85E}"/>
            </a:ext>
          </a:extLst>
        </xdr:cNvPr>
        <xdr:cNvSpPr/>
      </xdr:nvSpPr>
      <xdr:spPr>
        <a:xfrm>
          <a:off x="5486400" y="2972203"/>
          <a:ext cx="2996463" cy="73238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180375</xdr:colOff>
      <xdr:row>15</xdr:row>
      <xdr:rowOff>152400</xdr:rowOff>
    </xdr:from>
    <xdr:to>
      <xdr:col>13</xdr:col>
      <xdr:colOff>447076</xdr:colOff>
      <xdr:row>19</xdr:row>
      <xdr:rowOff>57150</xdr:rowOff>
    </xdr:to>
    <xdr:sp macro="" textlink="">
      <xdr:nvSpPr>
        <xdr:cNvPr id="56" name="Rectangle: Rounded Corners 55">
          <a:extLst>
            <a:ext uri="{FF2B5EF4-FFF2-40B4-BE49-F238E27FC236}">
              <a16:creationId xmlns:a16="http://schemas.microsoft.com/office/drawing/2014/main" id="{84AFAA55-C897-4F67-B014-3AC159515FB7}"/>
            </a:ext>
          </a:extLst>
        </xdr:cNvPr>
        <xdr:cNvSpPr/>
      </xdr:nvSpPr>
      <xdr:spPr>
        <a:xfrm>
          <a:off x="5666775" y="3009900"/>
          <a:ext cx="2705101" cy="66675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570901</xdr:colOff>
      <xdr:row>15</xdr:row>
      <xdr:rowOff>71446</xdr:rowOff>
    </xdr:from>
    <xdr:to>
      <xdr:col>13</xdr:col>
      <xdr:colOff>484118</xdr:colOff>
      <xdr:row>17</xdr:row>
      <xdr:rowOff>72125</xdr:rowOff>
    </xdr:to>
    <xdr:sp macro="" textlink="">
      <xdr:nvSpPr>
        <xdr:cNvPr id="57" name="Rectangle: Rounded Corners 56">
          <a:extLst>
            <a:ext uri="{FF2B5EF4-FFF2-40B4-BE49-F238E27FC236}">
              <a16:creationId xmlns:a16="http://schemas.microsoft.com/office/drawing/2014/main" id="{11050041-A2FF-496C-8B12-BA751819F44F}"/>
            </a:ext>
          </a:extLst>
        </xdr:cNvPr>
        <xdr:cNvSpPr/>
      </xdr:nvSpPr>
      <xdr:spPr>
        <a:xfrm>
          <a:off x="6057301" y="2928946"/>
          <a:ext cx="2351617"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B4E3D"/>
              </a:solidFill>
            </a:rPr>
            <a:t>TOTAL</a:t>
          </a:r>
          <a:r>
            <a:rPr lang="en-US" sz="1400" b="1" baseline="0">
              <a:solidFill>
                <a:srgbClr val="6B4E3D"/>
              </a:solidFill>
            </a:rPr>
            <a:t> PROFIT</a:t>
          </a:r>
          <a:endParaRPr lang="en-US" sz="1800" b="1">
            <a:solidFill>
              <a:srgbClr val="6B4E3D"/>
            </a:solidFill>
          </a:endParaRPr>
        </a:p>
      </xdr:txBody>
    </xdr:sp>
    <xdr:clientData/>
  </xdr:twoCellAnchor>
  <xdr:twoCellAnchor>
    <xdr:from>
      <xdr:col>9</xdr:col>
      <xdr:colOff>315844</xdr:colOff>
      <xdr:row>15</xdr:row>
      <xdr:rowOff>124358</xdr:rowOff>
    </xdr:from>
    <xdr:to>
      <xdr:col>10</xdr:col>
      <xdr:colOff>58668</xdr:colOff>
      <xdr:row>19</xdr:row>
      <xdr:rowOff>84366</xdr:rowOff>
    </xdr:to>
    <xdr:sp macro="" textlink="">
      <xdr:nvSpPr>
        <xdr:cNvPr id="58" name="Text Box 1">
          <a:extLst>
            <a:ext uri="{FF2B5EF4-FFF2-40B4-BE49-F238E27FC236}">
              <a16:creationId xmlns:a16="http://schemas.microsoft.com/office/drawing/2014/main" id="{B1B1620E-A0FE-462C-9F1A-AD4A9C7A21FF}"/>
            </a:ext>
          </a:extLst>
        </xdr:cNvPr>
        <xdr:cNvSpPr txBox="1">
          <a:spLocks noChangeArrowheads="1"/>
        </xdr:cNvSpPr>
      </xdr:nvSpPr>
      <xdr:spPr bwMode="auto">
        <a:xfrm>
          <a:off x="5802244" y="2981858"/>
          <a:ext cx="35242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000" b="0" i="0" u="none" strike="noStrike" baseline="0">
              <a:solidFill>
                <a:srgbClr val="6B4E3D"/>
              </a:solidFill>
              <a:latin typeface="Calibri"/>
              <a:cs typeface="Calibri"/>
            </a:rPr>
            <a:t>₹</a:t>
          </a:r>
          <a:endParaRPr lang="en-US" sz="1100" b="0" i="0" u="none" strike="noStrike" baseline="0">
            <a:solidFill>
              <a:srgbClr val="6B4E3D"/>
            </a:solidFill>
            <a:latin typeface="Calibri"/>
            <a:cs typeface="Calibri"/>
          </a:endParaRPr>
        </a:p>
      </xdr:txBody>
    </xdr:sp>
    <xdr:clientData/>
  </xdr:twoCellAnchor>
  <xdr:twoCellAnchor>
    <xdr:from>
      <xdr:col>10</xdr:col>
      <xdr:colOff>420618</xdr:colOff>
      <xdr:row>17</xdr:row>
      <xdr:rowOff>26124</xdr:rowOff>
    </xdr:from>
    <xdr:to>
      <xdr:col>12</xdr:col>
      <xdr:colOff>558201</xdr:colOff>
      <xdr:row>19</xdr:row>
      <xdr:rowOff>11960</xdr:rowOff>
    </xdr:to>
    <xdr:sp macro="" textlink="">
      <xdr:nvSpPr>
        <xdr:cNvPr id="59" name="Rectangle: Rounded Corners 58">
          <a:extLst>
            <a:ext uri="{FF2B5EF4-FFF2-40B4-BE49-F238E27FC236}">
              <a16:creationId xmlns:a16="http://schemas.microsoft.com/office/drawing/2014/main" id="{30DF3AF7-88C3-4397-B523-347B3EAF1B94}"/>
            </a:ext>
          </a:extLst>
        </xdr:cNvPr>
        <xdr:cNvSpPr/>
      </xdr:nvSpPr>
      <xdr:spPr>
        <a:xfrm>
          <a:off x="6516618" y="3264624"/>
          <a:ext cx="1356783"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6B4E3D"/>
              </a:solidFill>
            </a:rPr>
            <a:t>183240</a:t>
          </a:r>
        </a:p>
      </xdr:txBody>
    </xdr:sp>
    <xdr:clientData/>
  </xdr:twoCellAnchor>
  <xdr:twoCellAnchor>
    <xdr:from>
      <xdr:col>2</xdr:col>
      <xdr:colOff>542925</xdr:colOff>
      <xdr:row>22</xdr:row>
      <xdr:rowOff>181378</xdr:rowOff>
    </xdr:from>
    <xdr:to>
      <xdr:col>7</xdr:col>
      <xdr:colOff>491388</xdr:colOff>
      <xdr:row>26</xdr:row>
      <xdr:rowOff>151761</xdr:rowOff>
    </xdr:to>
    <xdr:sp macro="" textlink="">
      <xdr:nvSpPr>
        <xdr:cNvPr id="60" name="Rectangle: Rounded Corners 59">
          <a:extLst>
            <a:ext uri="{FF2B5EF4-FFF2-40B4-BE49-F238E27FC236}">
              <a16:creationId xmlns:a16="http://schemas.microsoft.com/office/drawing/2014/main" id="{08C53AA2-0B72-4039-AB96-80DB0B630150}"/>
            </a:ext>
          </a:extLst>
        </xdr:cNvPr>
        <xdr:cNvSpPr/>
      </xdr:nvSpPr>
      <xdr:spPr>
        <a:xfrm>
          <a:off x="1762125" y="4372378"/>
          <a:ext cx="2996463" cy="73238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142275</xdr:colOff>
      <xdr:row>23</xdr:row>
      <xdr:rowOff>20255</xdr:rowOff>
    </xdr:from>
    <xdr:to>
      <xdr:col>7</xdr:col>
      <xdr:colOff>408976</xdr:colOff>
      <xdr:row>26</xdr:row>
      <xdr:rowOff>116693</xdr:rowOff>
    </xdr:to>
    <xdr:sp macro="" textlink="">
      <xdr:nvSpPr>
        <xdr:cNvPr id="61" name="Rectangle: Rounded Corners 60">
          <a:extLst>
            <a:ext uri="{FF2B5EF4-FFF2-40B4-BE49-F238E27FC236}">
              <a16:creationId xmlns:a16="http://schemas.microsoft.com/office/drawing/2014/main" id="{47EADA9B-F1B3-4419-A31B-65CDDE41F733}"/>
            </a:ext>
          </a:extLst>
        </xdr:cNvPr>
        <xdr:cNvSpPr/>
      </xdr:nvSpPr>
      <xdr:spPr>
        <a:xfrm>
          <a:off x="1971075" y="4401755"/>
          <a:ext cx="2705101" cy="667938"/>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438150</xdr:colOff>
      <xdr:row>22</xdr:row>
      <xdr:rowOff>187053</xdr:rowOff>
    </xdr:from>
    <xdr:to>
      <xdr:col>8</xdr:col>
      <xdr:colOff>57150</xdr:colOff>
      <xdr:row>24</xdr:row>
      <xdr:rowOff>82771</xdr:rowOff>
    </xdr:to>
    <xdr:sp macro="" textlink="">
      <xdr:nvSpPr>
        <xdr:cNvPr id="62" name="Rectangle: Rounded Corners 61">
          <a:extLst>
            <a:ext uri="{FF2B5EF4-FFF2-40B4-BE49-F238E27FC236}">
              <a16:creationId xmlns:a16="http://schemas.microsoft.com/office/drawing/2014/main" id="{5E4B5801-F94B-48C6-A413-8F9FEDBDA119}"/>
            </a:ext>
          </a:extLst>
        </xdr:cNvPr>
        <xdr:cNvSpPr/>
      </xdr:nvSpPr>
      <xdr:spPr>
        <a:xfrm>
          <a:off x="2266950" y="4378053"/>
          <a:ext cx="2667000" cy="2767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rgbClr val="6B4E3D"/>
              </a:solidFill>
            </a:rPr>
            <a:t>AVG</a:t>
          </a:r>
          <a:r>
            <a:rPr lang="en-US" sz="1400" b="1" baseline="0">
              <a:solidFill>
                <a:srgbClr val="6B4E3D"/>
              </a:solidFill>
            </a:rPr>
            <a:t> PROFIT MARGIN / ITEM </a:t>
          </a:r>
          <a:r>
            <a:rPr lang="en-US" sz="1200" b="1" baseline="0">
              <a:solidFill>
                <a:srgbClr val="6B4E3D"/>
              </a:solidFill>
            </a:rPr>
            <a:t> </a:t>
          </a:r>
          <a:endParaRPr lang="en-US" sz="1800" b="1">
            <a:solidFill>
              <a:srgbClr val="6B4E3D"/>
            </a:solidFill>
          </a:endParaRPr>
        </a:p>
      </xdr:txBody>
    </xdr:sp>
    <xdr:clientData/>
  </xdr:twoCellAnchor>
  <xdr:twoCellAnchor>
    <xdr:from>
      <xdr:col>4</xdr:col>
      <xdr:colOff>315843</xdr:colOff>
      <xdr:row>24</xdr:row>
      <xdr:rowOff>92799</xdr:rowOff>
    </xdr:from>
    <xdr:to>
      <xdr:col>6</xdr:col>
      <xdr:colOff>453426</xdr:colOff>
      <xdr:row>26</xdr:row>
      <xdr:rowOff>78635</xdr:rowOff>
    </xdr:to>
    <xdr:sp macro="" textlink="">
      <xdr:nvSpPr>
        <xdr:cNvPr id="64" name="Rectangle: Rounded Corners 63">
          <a:extLst>
            <a:ext uri="{FF2B5EF4-FFF2-40B4-BE49-F238E27FC236}">
              <a16:creationId xmlns:a16="http://schemas.microsoft.com/office/drawing/2014/main" id="{AA356832-6541-490D-AEF6-E27AADFC6AC6}"/>
            </a:ext>
          </a:extLst>
        </xdr:cNvPr>
        <xdr:cNvSpPr/>
      </xdr:nvSpPr>
      <xdr:spPr>
        <a:xfrm>
          <a:off x="2754243" y="4664799"/>
          <a:ext cx="1356783"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6B4E3D"/>
              </a:solidFill>
              <a:latin typeface="Calibri"/>
              <a:cs typeface="Calibri"/>
            </a:rPr>
            <a:t>60</a:t>
          </a:r>
          <a:r>
            <a:rPr lang="en-US" sz="2400" b="1" i="0" u="none" strike="noStrike" baseline="0">
              <a:solidFill>
                <a:srgbClr val="6B4E3D"/>
              </a:solidFill>
              <a:latin typeface="Calibri"/>
              <a:cs typeface="Calibri"/>
            </a:rPr>
            <a:t> %</a:t>
          </a:r>
          <a:endParaRPr lang="en-US" sz="2400" b="1" i="0" u="none" strike="noStrike">
            <a:solidFill>
              <a:srgbClr val="6B4E3D"/>
            </a:solidFill>
            <a:latin typeface="Calibri"/>
            <a:cs typeface="Calibri"/>
          </a:endParaRPr>
        </a:p>
      </xdr:txBody>
    </xdr:sp>
    <xdr:clientData/>
  </xdr:twoCellAnchor>
  <xdr:twoCellAnchor>
    <xdr:from>
      <xdr:col>9</xdr:col>
      <xdr:colOff>57150</xdr:colOff>
      <xdr:row>22</xdr:row>
      <xdr:rowOff>171853</xdr:rowOff>
    </xdr:from>
    <xdr:to>
      <xdr:col>14</xdr:col>
      <xdr:colOff>5613</xdr:colOff>
      <xdr:row>26</xdr:row>
      <xdr:rowOff>142236</xdr:rowOff>
    </xdr:to>
    <xdr:sp macro="" textlink="">
      <xdr:nvSpPr>
        <xdr:cNvPr id="65" name="Rectangle: Rounded Corners 64">
          <a:extLst>
            <a:ext uri="{FF2B5EF4-FFF2-40B4-BE49-F238E27FC236}">
              <a16:creationId xmlns:a16="http://schemas.microsoft.com/office/drawing/2014/main" id="{17A40A7D-8FB6-4DAE-9AB0-A14D6BF03640}"/>
            </a:ext>
          </a:extLst>
        </xdr:cNvPr>
        <xdr:cNvSpPr/>
      </xdr:nvSpPr>
      <xdr:spPr>
        <a:xfrm>
          <a:off x="5543550" y="4362853"/>
          <a:ext cx="2996463" cy="73238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247050</xdr:colOff>
      <xdr:row>23</xdr:row>
      <xdr:rowOff>20255</xdr:rowOff>
    </xdr:from>
    <xdr:to>
      <xdr:col>13</xdr:col>
      <xdr:colOff>513751</xdr:colOff>
      <xdr:row>26</xdr:row>
      <xdr:rowOff>116693</xdr:rowOff>
    </xdr:to>
    <xdr:sp macro="" textlink="">
      <xdr:nvSpPr>
        <xdr:cNvPr id="66" name="Rectangle: Rounded Corners 65">
          <a:extLst>
            <a:ext uri="{FF2B5EF4-FFF2-40B4-BE49-F238E27FC236}">
              <a16:creationId xmlns:a16="http://schemas.microsoft.com/office/drawing/2014/main" id="{8B638C7D-9606-45FD-9928-A06E91C97B3C}"/>
            </a:ext>
          </a:extLst>
        </xdr:cNvPr>
        <xdr:cNvSpPr/>
      </xdr:nvSpPr>
      <xdr:spPr>
        <a:xfrm>
          <a:off x="5733450" y="4401755"/>
          <a:ext cx="2705101" cy="667938"/>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589951</xdr:colOff>
      <xdr:row>22</xdr:row>
      <xdr:rowOff>119071</xdr:rowOff>
    </xdr:from>
    <xdr:to>
      <xdr:col>13</xdr:col>
      <xdr:colOff>503168</xdr:colOff>
      <xdr:row>24</xdr:row>
      <xdr:rowOff>119750</xdr:rowOff>
    </xdr:to>
    <xdr:sp macro="" textlink="">
      <xdr:nvSpPr>
        <xdr:cNvPr id="67" name="Rectangle: Rounded Corners 66">
          <a:extLst>
            <a:ext uri="{FF2B5EF4-FFF2-40B4-BE49-F238E27FC236}">
              <a16:creationId xmlns:a16="http://schemas.microsoft.com/office/drawing/2014/main" id="{6FA9D050-4DBE-471F-9A3E-01C6E2CAFCF2}"/>
            </a:ext>
          </a:extLst>
        </xdr:cNvPr>
        <xdr:cNvSpPr/>
      </xdr:nvSpPr>
      <xdr:spPr>
        <a:xfrm>
          <a:off x="6076351" y="4310071"/>
          <a:ext cx="2351617"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B4E3D"/>
              </a:solidFill>
            </a:rPr>
            <a:t>AVG</a:t>
          </a:r>
          <a:r>
            <a:rPr lang="en-US" sz="1400" b="1" baseline="0">
              <a:solidFill>
                <a:srgbClr val="6B4E3D"/>
              </a:solidFill>
            </a:rPr>
            <a:t> PROFIT / ITEM</a:t>
          </a:r>
          <a:endParaRPr lang="en-US" sz="1800" b="1">
            <a:solidFill>
              <a:srgbClr val="6B4E3D"/>
            </a:solidFill>
          </a:endParaRPr>
        </a:p>
      </xdr:txBody>
    </xdr:sp>
    <xdr:clientData/>
  </xdr:twoCellAnchor>
  <xdr:twoCellAnchor>
    <xdr:from>
      <xdr:col>9</xdr:col>
      <xdr:colOff>372994</xdr:colOff>
      <xdr:row>22</xdr:row>
      <xdr:rowOff>181508</xdr:rowOff>
    </xdr:from>
    <xdr:to>
      <xdr:col>10</xdr:col>
      <xdr:colOff>115818</xdr:colOff>
      <xdr:row>26</xdr:row>
      <xdr:rowOff>141516</xdr:rowOff>
    </xdr:to>
    <xdr:sp macro="" textlink="">
      <xdr:nvSpPr>
        <xdr:cNvPr id="68" name="Text Box 1">
          <a:extLst>
            <a:ext uri="{FF2B5EF4-FFF2-40B4-BE49-F238E27FC236}">
              <a16:creationId xmlns:a16="http://schemas.microsoft.com/office/drawing/2014/main" id="{4E30B50B-D33A-42EB-AB25-E5A42C7DECB3}"/>
            </a:ext>
          </a:extLst>
        </xdr:cNvPr>
        <xdr:cNvSpPr txBox="1">
          <a:spLocks noChangeArrowheads="1"/>
        </xdr:cNvSpPr>
      </xdr:nvSpPr>
      <xdr:spPr bwMode="auto">
        <a:xfrm>
          <a:off x="5859394" y="4372508"/>
          <a:ext cx="35242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000" b="0" i="0" u="none" strike="noStrike" baseline="0">
              <a:solidFill>
                <a:srgbClr val="6B4E3D"/>
              </a:solidFill>
              <a:latin typeface="Calibri"/>
              <a:cs typeface="Calibri"/>
            </a:rPr>
            <a:t>₹</a:t>
          </a:r>
          <a:endParaRPr lang="en-US" sz="1100" b="0" i="0" u="none" strike="noStrike" baseline="0">
            <a:solidFill>
              <a:srgbClr val="6B4E3D"/>
            </a:solidFill>
            <a:latin typeface="Calibri"/>
            <a:cs typeface="Calibri"/>
          </a:endParaRPr>
        </a:p>
      </xdr:txBody>
    </xdr:sp>
    <xdr:clientData/>
  </xdr:twoCellAnchor>
  <xdr:twoCellAnchor>
    <xdr:from>
      <xdr:col>10</xdr:col>
      <xdr:colOff>439668</xdr:colOff>
      <xdr:row>24</xdr:row>
      <xdr:rowOff>83274</xdr:rowOff>
    </xdr:from>
    <xdr:to>
      <xdr:col>12</xdr:col>
      <xdr:colOff>577251</xdr:colOff>
      <xdr:row>26</xdr:row>
      <xdr:rowOff>69110</xdr:rowOff>
    </xdr:to>
    <xdr:sp macro="" textlink="">
      <xdr:nvSpPr>
        <xdr:cNvPr id="69" name="Rectangle: Rounded Corners 68">
          <a:extLst>
            <a:ext uri="{FF2B5EF4-FFF2-40B4-BE49-F238E27FC236}">
              <a16:creationId xmlns:a16="http://schemas.microsoft.com/office/drawing/2014/main" id="{0AB20939-30F9-4941-BA50-737061D2522A}"/>
            </a:ext>
          </a:extLst>
        </xdr:cNvPr>
        <xdr:cNvSpPr/>
      </xdr:nvSpPr>
      <xdr:spPr>
        <a:xfrm>
          <a:off x="6535668" y="4655274"/>
          <a:ext cx="1356783"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6B4E3D"/>
              </a:solidFill>
            </a:rPr>
            <a:t>84.05</a:t>
          </a:r>
        </a:p>
      </xdr:txBody>
    </xdr:sp>
    <xdr:clientData/>
  </xdr:twoCellAnchor>
  <xdr:twoCellAnchor>
    <xdr:from>
      <xdr:col>14</xdr:col>
      <xdr:colOff>590550</xdr:colOff>
      <xdr:row>22</xdr:row>
      <xdr:rowOff>162328</xdr:rowOff>
    </xdr:from>
    <xdr:to>
      <xdr:col>19</xdr:col>
      <xdr:colOff>539013</xdr:colOff>
      <xdr:row>26</xdr:row>
      <xdr:rowOff>132711</xdr:rowOff>
    </xdr:to>
    <xdr:sp macro="" textlink="">
      <xdr:nvSpPr>
        <xdr:cNvPr id="70" name="Rectangle: Rounded Corners 69">
          <a:extLst>
            <a:ext uri="{FF2B5EF4-FFF2-40B4-BE49-F238E27FC236}">
              <a16:creationId xmlns:a16="http://schemas.microsoft.com/office/drawing/2014/main" id="{87770AFD-14C9-429B-A9F9-B1DADDD7AB63}"/>
            </a:ext>
          </a:extLst>
        </xdr:cNvPr>
        <xdr:cNvSpPr/>
      </xdr:nvSpPr>
      <xdr:spPr>
        <a:xfrm>
          <a:off x="9124950" y="4353328"/>
          <a:ext cx="2996463" cy="73238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199425</xdr:colOff>
      <xdr:row>23</xdr:row>
      <xdr:rowOff>9525</xdr:rowOff>
    </xdr:from>
    <xdr:to>
      <xdr:col>19</xdr:col>
      <xdr:colOff>466126</xdr:colOff>
      <xdr:row>26</xdr:row>
      <xdr:rowOff>104775</xdr:rowOff>
    </xdr:to>
    <xdr:sp macro="" textlink="">
      <xdr:nvSpPr>
        <xdr:cNvPr id="71" name="Rectangle: Rounded Corners 70">
          <a:extLst>
            <a:ext uri="{FF2B5EF4-FFF2-40B4-BE49-F238E27FC236}">
              <a16:creationId xmlns:a16="http://schemas.microsoft.com/office/drawing/2014/main" id="{8D1701E0-CB3E-4CC3-B07B-028F265EB728}"/>
            </a:ext>
          </a:extLst>
        </xdr:cNvPr>
        <xdr:cNvSpPr/>
      </xdr:nvSpPr>
      <xdr:spPr>
        <a:xfrm>
          <a:off x="9343425" y="4391025"/>
          <a:ext cx="2705101" cy="66675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561376</xdr:colOff>
      <xdr:row>22</xdr:row>
      <xdr:rowOff>109546</xdr:rowOff>
    </xdr:from>
    <xdr:to>
      <xdr:col>19</xdr:col>
      <xdr:colOff>474593</xdr:colOff>
      <xdr:row>24</xdr:row>
      <xdr:rowOff>110225</xdr:rowOff>
    </xdr:to>
    <xdr:sp macro="" textlink="">
      <xdr:nvSpPr>
        <xdr:cNvPr id="72" name="Rectangle: Rounded Corners 71">
          <a:extLst>
            <a:ext uri="{FF2B5EF4-FFF2-40B4-BE49-F238E27FC236}">
              <a16:creationId xmlns:a16="http://schemas.microsoft.com/office/drawing/2014/main" id="{AF6109C3-6208-4F4B-B72A-64E816A435D2}"/>
            </a:ext>
          </a:extLst>
        </xdr:cNvPr>
        <xdr:cNvSpPr/>
      </xdr:nvSpPr>
      <xdr:spPr>
        <a:xfrm>
          <a:off x="9705376" y="4300546"/>
          <a:ext cx="2351617"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B4E3D"/>
              </a:solidFill>
            </a:rPr>
            <a:t>AVG DISSCOUNT</a:t>
          </a:r>
          <a:r>
            <a:rPr lang="en-US" sz="1400" b="1" baseline="0">
              <a:solidFill>
                <a:srgbClr val="6B4E3D"/>
              </a:solidFill>
            </a:rPr>
            <a:t> / ITEM (%)</a:t>
          </a:r>
          <a:endParaRPr lang="en-US" sz="1800" b="1">
            <a:solidFill>
              <a:srgbClr val="6B4E3D"/>
            </a:solidFill>
          </a:endParaRPr>
        </a:p>
      </xdr:txBody>
    </xdr:sp>
    <xdr:clientData/>
  </xdr:twoCellAnchor>
  <xdr:twoCellAnchor>
    <xdr:from>
      <xdr:col>16</xdr:col>
      <xdr:colOff>363468</xdr:colOff>
      <xdr:row>24</xdr:row>
      <xdr:rowOff>73749</xdr:rowOff>
    </xdr:from>
    <xdr:to>
      <xdr:col>18</xdr:col>
      <xdr:colOff>501051</xdr:colOff>
      <xdr:row>26</xdr:row>
      <xdr:rowOff>59585</xdr:rowOff>
    </xdr:to>
    <xdr:sp macro="" textlink="">
      <xdr:nvSpPr>
        <xdr:cNvPr id="74" name="Rectangle: Rounded Corners 73">
          <a:extLst>
            <a:ext uri="{FF2B5EF4-FFF2-40B4-BE49-F238E27FC236}">
              <a16:creationId xmlns:a16="http://schemas.microsoft.com/office/drawing/2014/main" id="{5E2F6B0F-E5A4-4006-AFE6-6D5C1A74FEAC}"/>
            </a:ext>
          </a:extLst>
        </xdr:cNvPr>
        <xdr:cNvSpPr/>
      </xdr:nvSpPr>
      <xdr:spPr>
        <a:xfrm>
          <a:off x="10117068" y="4645749"/>
          <a:ext cx="1356783"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6B4E3D"/>
              </a:solidFill>
            </a:rPr>
            <a:t>8.86</a:t>
          </a:r>
        </a:p>
      </xdr:txBody>
    </xdr:sp>
    <xdr:clientData/>
  </xdr:twoCellAnchor>
  <xdr:twoCellAnchor editAs="oneCell">
    <xdr:from>
      <xdr:col>0</xdr:col>
      <xdr:colOff>495300</xdr:colOff>
      <xdr:row>1</xdr:row>
      <xdr:rowOff>57150</xdr:rowOff>
    </xdr:from>
    <xdr:to>
      <xdr:col>2</xdr:col>
      <xdr:colOff>9525</xdr:colOff>
      <xdr:row>4</xdr:row>
      <xdr:rowOff>84523</xdr:rowOff>
    </xdr:to>
    <xdr:pic>
      <xdr:nvPicPr>
        <xdr:cNvPr id="40" name="Picture 39">
          <a:extLst>
            <a:ext uri="{FF2B5EF4-FFF2-40B4-BE49-F238E27FC236}">
              <a16:creationId xmlns:a16="http://schemas.microsoft.com/office/drawing/2014/main" id="{0AE9D4C8-2438-4F7A-BB65-2408DDC8B1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5300" y="247650"/>
          <a:ext cx="733425" cy="598873"/>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161925</xdr:colOff>
      <xdr:row>8</xdr:row>
      <xdr:rowOff>0</xdr:rowOff>
    </xdr:from>
    <xdr:to>
      <xdr:col>2</xdr:col>
      <xdr:colOff>323850</xdr:colOff>
      <xdr:row>9</xdr:row>
      <xdr:rowOff>142874</xdr:rowOff>
    </xdr:to>
    <xdr:sp macro="" textlink="">
      <xdr:nvSpPr>
        <xdr:cNvPr id="48" name="Rectangle: Rounded Corners 47">
          <a:hlinkClick xmlns:r="http://schemas.openxmlformats.org/officeDocument/2006/relationships" r:id="rId4"/>
          <a:extLst>
            <a:ext uri="{FF2B5EF4-FFF2-40B4-BE49-F238E27FC236}">
              <a16:creationId xmlns:a16="http://schemas.microsoft.com/office/drawing/2014/main" id="{7EA48DC3-64E1-48CF-8F9A-B3DE82FB1000}"/>
            </a:ext>
          </a:extLst>
        </xdr:cNvPr>
        <xdr:cNvSpPr/>
      </xdr:nvSpPr>
      <xdr:spPr>
        <a:xfrm>
          <a:off x="161925" y="1524000"/>
          <a:ext cx="1381125" cy="333374"/>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161924</xdr:colOff>
      <xdr:row>10</xdr:row>
      <xdr:rowOff>85727</xdr:rowOff>
    </xdr:from>
    <xdr:to>
      <xdr:col>2</xdr:col>
      <xdr:colOff>323849</xdr:colOff>
      <xdr:row>12</xdr:row>
      <xdr:rowOff>38101</xdr:rowOff>
    </xdr:to>
    <xdr:sp macro="" textlink="">
      <xdr:nvSpPr>
        <xdr:cNvPr id="49" name="Rectangle: Rounded Corners 48">
          <a:hlinkClick xmlns:r="http://schemas.openxmlformats.org/officeDocument/2006/relationships" r:id="rId5"/>
          <a:extLst>
            <a:ext uri="{FF2B5EF4-FFF2-40B4-BE49-F238E27FC236}">
              <a16:creationId xmlns:a16="http://schemas.microsoft.com/office/drawing/2014/main" id="{EE996B62-C35C-4719-8325-078463D89D6D}"/>
            </a:ext>
          </a:extLst>
        </xdr:cNvPr>
        <xdr:cNvSpPr/>
      </xdr:nvSpPr>
      <xdr:spPr>
        <a:xfrm>
          <a:off x="161924" y="1990727"/>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161924</xdr:colOff>
      <xdr:row>12</xdr:row>
      <xdr:rowOff>133352</xdr:rowOff>
    </xdr:from>
    <xdr:to>
      <xdr:col>2</xdr:col>
      <xdr:colOff>323849</xdr:colOff>
      <xdr:row>14</xdr:row>
      <xdr:rowOff>85726</xdr:rowOff>
    </xdr:to>
    <xdr:sp macro="" textlink="">
      <xdr:nvSpPr>
        <xdr:cNvPr id="63" name="Rectangle: Rounded Corners 62">
          <a:hlinkClick xmlns:r="http://schemas.openxmlformats.org/officeDocument/2006/relationships" r:id="rId6"/>
          <a:extLst>
            <a:ext uri="{FF2B5EF4-FFF2-40B4-BE49-F238E27FC236}">
              <a16:creationId xmlns:a16="http://schemas.microsoft.com/office/drawing/2014/main" id="{40A821AA-9057-45B4-8EF8-D52C6422C14C}"/>
            </a:ext>
          </a:extLst>
        </xdr:cNvPr>
        <xdr:cNvSpPr/>
      </xdr:nvSpPr>
      <xdr:spPr>
        <a:xfrm>
          <a:off x="161924" y="2419352"/>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142875</xdr:colOff>
      <xdr:row>14</xdr:row>
      <xdr:rowOff>180975</xdr:rowOff>
    </xdr:from>
    <xdr:to>
      <xdr:col>2</xdr:col>
      <xdr:colOff>304800</xdr:colOff>
      <xdr:row>16</xdr:row>
      <xdr:rowOff>133349</xdr:rowOff>
    </xdr:to>
    <xdr:sp macro="" textlink="">
      <xdr:nvSpPr>
        <xdr:cNvPr id="75" name="Rectangle: Rounded Corners 74">
          <a:hlinkClick xmlns:r="http://schemas.openxmlformats.org/officeDocument/2006/relationships" r:id="rId7"/>
          <a:extLst>
            <a:ext uri="{FF2B5EF4-FFF2-40B4-BE49-F238E27FC236}">
              <a16:creationId xmlns:a16="http://schemas.microsoft.com/office/drawing/2014/main" id="{D49F6968-214F-4F52-BC50-FF146A34D727}"/>
            </a:ext>
          </a:extLst>
        </xdr:cNvPr>
        <xdr:cNvSpPr/>
      </xdr:nvSpPr>
      <xdr:spPr>
        <a:xfrm>
          <a:off x="142875" y="28479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152400</xdr:colOff>
      <xdr:row>17</xdr:row>
      <xdr:rowOff>38100</xdr:rowOff>
    </xdr:from>
    <xdr:to>
      <xdr:col>2</xdr:col>
      <xdr:colOff>314325</xdr:colOff>
      <xdr:row>18</xdr:row>
      <xdr:rowOff>180974</xdr:rowOff>
    </xdr:to>
    <xdr:sp macro="" textlink="">
      <xdr:nvSpPr>
        <xdr:cNvPr id="76" name="Rectangle: Rounded Corners 75">
          <a:hlinkClick xmlns:r="http://schemas.openxmlformats.org/officeDocument/2006/relationships" r:id="rId8"/>
          <a:extLst>
            <a:ext uri="{FF2B5EF4-FFF2-40B4-BE49-F238E27FC236}">
              <a16:creationId xmlns:a16="http://schemas.microsoft.com/office/drawing/2014/main" id="{BB842FB1-F422-474C-81E9-6EF88939E7C0}"/>
            </a:ext>
          </a:extLst>
        </xdr:cNvPr>
        <xdr:cNvSpPr/>
      </xdr:nvSpPr>
      <xdr:spPr>
        <a:xfrm>
          <a:off x="152400" y="327660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171450</xdr:colOff>
      <xdr:row>19</xdr:row>
      <xdr:rowOff>104774</xdr:rowOff>
    </xdr:from>
    <xdr:to>
      <xdr:col>2</xdr:col>
      <xdr:colOff>323850</xdr:colOff>
      <xdr:row>21</xdr:row>
      <xdr:rowOff>57150</xdr:rowOff>
    </xdr:to>
    <xdr:sp macro="" textlink="">
      <xdr:nvSpPr>
        <xdr:cNvPr id="77" name="Rectangle: Rounded Corners 76">
          <a:hlinkClick xmlns:r="http://schemas.openxmlformats.org/officeDocument/2006/relationships" r:id="rId9"/>
          <a:extLst>
            <a:ext uri="{FF2B5EF4-FFF2-40B4-BE49-F238E27FC236}">
              <a16:creationId xmlns:a16="http://schemas.microsoft.com/office/drawing/2014/main" id="{92EE76D2-169F-4D3D-B1E1-AFB248579515}"/>
            </a:ext>
          </a:extLst>
        </xdr:cNvPr>
        <xdr:cNvSpPr/>
      </xdr:nvSpPr>
      <xdr:spPr>
        <a:xfrm>
          <a:off x="171450" y="3724274"/>
          <a:ext cx="1371600" cy="333376"/>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171450</xdr:colOff>
      <xdr:row>21</xdr:row>
      <xdr:rowOff>161925</xdr:rowOff>
    </xdr:from>
    <xdr:to>
      <xdr:col>2</xdr:col>
      <xdr:colOff>333375</xdr:colOff>
      <xdr:row>23</xdr:row>
      <xdr:rowOff>114299</xdr:rowOff>
    </xdr:to>
    <xdr:sp macro="" textlink="">
      <xdr:nvSpPr>
        <xdr:cNvPr id="78" name="Rectangle: Rounded Corners 77">
          <a:hlinkClick xmlns:r="http://schemas.openxmlformats.org/officeDocument/2006/relationships" r:id="rId10"/>
          <a:extLst>
            <a:ext uri="{FF2B5EF4-FFF2-40B4-BE49-F238E27FC236}">
              <a16:creationId xmlns:a16="http://schemas.microsoft.com/office/drawing/2014/main" id="{7CB1C62B-E019-4917-A447-E11D1515ABFE}"/>
            </a:ext>
          </a:extLst>
        </xdr:cNvPr>
        <xdr:cNvSpPr/>
      </xdr:nvSpPr>
      <xdr:spPr>
        <a:xfrm>
          <a:off x="171450" y="416242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85725</xdr:rowOff>
    </xdr:from>
    <xdr:to>
      <xdr:col>20</xdr:col>
      <xdr:colOff>590550</xdr:colOff>
      <xdr:row>30</xdr:row>
      <xdr:rowOff>76200</xdr:rowOff>
    </xdr:to>
    <xdr:sp macro="" textlink="">
      <xdr:nvSpPr>
        <xdr:cNvPr id="2" name="Rectangle: Rounded Corners 1">
          <a:extLst>
            <a:ext uri="{FF2B5EF4-FFF2-40B4-BE49-F238E27FC236}">
              <a16:creationId xmlns:a16="http://schemas.microsoft.com/office/drawing/2014/main" id="{9053FAA0-F285-461D-8655-3CE5A708D287}"/>
            </a:ext>
          </a:extLst>
        </xdr:cNvPr>
        <xdr:cNvSpPr/>
      </xdr:nvSpPr>
      <xdr:spPr>
        <a:xfrm>
          <a:off x="47625" y="85725"/>
          <a:ext cx="12734925" cy="5705475"/>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0</xdr:row>
      <xdr:rowOff>85726</xdr:rowOff>
    </xdr:from>
    <xdr:to>
      <xdr:col>20</xdr:col>
      <xdr:colOff>571500</xdr:colOff>
      <xdr:row>30</xdr:row>
      <xdr:rowOff>66676</xdr:rowOff>
    </xdr:to>
    <xdr:sp macro="" textlink="">
      <xdr:nvSpPr>
        <xdr:cNvPr id="3" name="Rectangle: Rounded Corners 2">
          <a:extLst>
            <a:ext uri="{FF2B5EF4-FFF2-40B4-BE49-F238E27FC236}">
              <a16:creationId xmlns:a16="http://schemas.microsoft.com/office/drawing/2014/main" id="{90517B30-ED2F-44A5-AA83-926E29E2F669}"/>
            </a:ext>
          </a:extLst>
        </xdr:cNvPr>
        <xdr:cNvSpPr/>
      </xdr:nvSpPr>
      <xdr:spPr>
        <a:xfrm>
          <a:off x="1485900" y="85726"/>
          <a:ext cx="11277600" cy="5695950"/>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533399</xdr:colOff>
      <xdr:row>1</xdr:row>
      <xdr:rowOff>114301</xdr:rowOff>
    </xdr:from>
    <xdr:to>
      <xdr:col>11</xdr:col>
      <xdr:colOff>12749</xdr:colOff>
      <xdr:row>5</xdr:row>
      <xdr:rowOff>108301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C2268E85-3BCB-4C47-8013-DCF6BC319F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52599" y="304801"/>
              <a:ext cx="4965750" cy="75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1</xdr:row>
      <xdr:rowOff>114300</xdr:rowOff>
    </xdr:from>
    <xdr:to>
      <xdr:col>20</xdr:col>
      <xdr:colOff>171450</xdr:colOff>
      <xdr:row>5</xdr:row>
      <xdr:rowOff>114300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DA370746-F436-48CA-8955-5D00BA2CA3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96100" y="304800"/>
              <a:ext cx="546735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542925</xdr:colOff>
      <xdr:row>6</xdr:row>
      <xdr:rowOff>47626</xdr:rowOff>
    </xdr:from>
    <xdr:to>
      <xdr:col>20</xdr:col>
      <xdr:colOff>171450</xdr:colOff>
      <xdr:row>9</xdr:row>
      <xdr:rowOff>142876</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BE01BDD7-5F1D-4D6D-9FE5-5B63569CBEC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62125" y="1190626"/>
              <a:ext cx="10601325"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466724</xdr:colOff>
      <xdr:row>10</xdr:row>
      <xdr:rowOff>152400</xdr:rowOff>
    </xdr:from>
    <xdr:to>
      <xdr:col>9</xdr:col>
      <xdr:colOff>95250</xdr:colOff>
      <xdr:row>12</xdr:row>
      <xdr:rowOff>180975</xdr:rowOff>
    </xdr:to>
    <xdr:sp macro="" textlink="">
      <xdr:nvSpPr>
        <xdr:cNvPr id="8" name="Rectangle: Rounded Corners 7">
          <a:extLst>
            <a:ext uri="{FF2B5EF4-FFF2-40B4-BE49-F238E27FC236}">
              <a16:creationId xmlns:a16="http://schemas.microsoft.com/office/drawing/2014/main" id="{AB999C37-9AD3-4B8F-A6DD-B218AE3BBEE4}"/>
            </a:ext>
          </a:extLst>
        </xdr:cNvPr>
        <xdr:cNvSpPr/>
      </xdr:nvSpPr>
      <xdr:spPr>
        <a:xfrm>
          <a:off x="2295524" y="2057400"/>
          <a:ext cx="3286126" cy="409575"/>
        </a:xfrm>
        <a:prstGeom prst="roundRect">
          <a:avLst>
            <a:gd name="adj" fmla="val 32946"/>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rgbClr val="6B4E3D"/>
              </a:solidFill>
              <a:latin typeface="Times New Roman" panose="02020603050405020304" pitchFamily="18" charset="0"/>
              <a:cs typeface="Times New Roman" panose="02020603050405020304" pitchFamily="18" charset="0"/>
            </a:rPr>
            <a:t>OVERALL PERFORMANCE</a:t>
          </a:r>
          <a:endParaRPr lang="en-US" sz="1200" b="1">
            <a:solidFill>
              <a:srgbClr val="6B4E3D"/>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447675</xdr:colOff>
      <xdr:row>10</xdr:row>
      <xdr:rowOff>104775</xdr:rowOff>
    </xdr:from>
    <xdr:to>
      <xdr:col>3</xdr:col>
      <xdr:colOff>381000</xdr:colOff>
      <xdr:row>13</xdr:row>
      <xdr:rowOff>76200</xdr:rowOff>
    </xdr:to>
    <xdr:pic>
      <xdr:nvPicPr>
        <xdr:cNvPr id="11" name="Graphic 10" descr="Pie chart with solid fill">
          <a:extLst>
            <a:ext uri="{FF2B5EF4-FFF2-40B4-BE49-F238E27FC236}">
              <a16:creationId xmlns:a16="http://schemas.microsoft.com/office/drawing/2014/main" id="{19DC8F62-7DD8-4102-A81A-7DBD2EFA1D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66875" y="2009775"/>
          <a:ext cx="542925" cy="542925"/>
        </a:xfrm>
        <a:prstGeom prst="rect">
          <a:avLst/>
        </a:prstGeom>
      </xdr:spPr>
    </xdr:pic>
    <xdr:clientData/>
  </xdr:twoCellAnchor>
  <xdr:twoCellAnchor>
    <xdr:from>
      <xdr:col>3</xdr:col>
      <xdr:colOff>85725</xdr:colOff>
      <xdr:row>14</xdr:row>
      <xdr:rowOff>57151</xdr:rowOff>
    </xdr:from>
    <xdr:to>
      <xdr:col>7</xdr:col>
      <xdr:colOff>25718</xdr:colOff>
      <xdr:row>17</xdr:row>
      <xdr:rowOff>113195</xdr:rowOff>
    </xdr:to>
    <xdr:sp macro="" textlink="">
      <xdr:nvSpPr>
        <xdr:cNvPr id="12" name="Rectangle: Rounded Corners 11">
          <a:extLst>
            <a:ext uri="{FF2B5EF4-FFF2-40B4-BE49-F238E27FC236}">
              <a16:creationId xmlns:a16="http://schemas.microsoft.com/office/drawing/2014/main" id="{741643E0-E87C-47AE-ABAF-EEB5D19A055B}"/>
            </a:ext>
          </a:extLst>
        </xdr:cNvPr>
        <xdr:cNvSpPr/>
      </xdr:nvSpPr>
      <xdr:spPr>
        <a:xfrm>
          <a:off x="1914525" y="2724151"/>
          <a:ext cx="2378393" cy="627544"/>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3</xdr:col>
      <xdr:colOff>294675</xdr:colOff>
      <xdr:row>14</xdr:row>
      <xdr:rowOff>85725</xdr:rowOff>
    </xdr:from>
    <xdr:to>
      <xdr:col>7</xdr:col>
      <xdr:colOff>3404</xdr:colOff>
      <xdr:row>17</xdr:row>
      <xdr:rowOff>86550</xdr:rowOff>
    </xdr:to>
    <xdr:sp macro="" textlink="">
      <xdr:nvSpPr>
        <xdr:cNvPr id="13" name="Rectangle: Rounded Corners 12">
          <a:extLst>
            <a:ext uri="{FF2B5EF4-FFF2-40B4-BE49-F238E27FC236}">
              <a16:creationId xmlns:a16="http://schemas.microsoft.com/office/drawing/2014/main" id="{5DD25346-64C6-4DF0-AAA4-264209E9FEFB}"/>
            </a:ext>
          </a:extLst>
        </xdr:cNvPr>
        <xdr:cNvSpPr/>
      </xdr:nvSpPr>
      <xdr:spPr>
        <a:xfrm>
          <a:off x="2123475" y="2752725"/>
          <a:ext cx="2147129" cy="572325"/>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3</xdr:col>
      <xdr:colOff>323850</xdr:colOff>
      <xdr:row>14</xdr:row>
      <xdr:rowOff>0</xdr:rowOff>
    </xdr:from>
    <xdr:to>
      <xdr:col>7</xdr:col>
      <xdr:colOff>236707</xdr:colOff>
      <xdr:row>15</xdr:row>
      <xdr:rowOff>136543</xdr:rowOff>
    </xdr:to>
    <xdr:sp macro="" textlink="">
      <xdr:nvSpPr>
        <xdr:cNvPr id="14" name="Rectangle: Rounded Corners 13">
          <a:extLst>
            <a:ext uri="{FF2B5EF4-FFF2-40B4-BE49-F238E27FC236}">
              <a16:creationId xmlns:a16="http://schemas.microsoft.com/office/drawing/2014/main" id="{95E7AB19-A33E-4DBF-B906-D8B252B6BD22}"/>
            </a:ext>
          </a:extLst>
        </xdr:cNvPr>
        <xdr:cNvSpPr/>
      </xdr:nvSpPr>
      <xdr:spPr>
        <a:xfrm>
          <a:off x="2152650" y="2667000"/>
          <a:ext cx="2351257" cy="32704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6B4E3D"/>
              </a:solidFill>
            </a:rPr>
            <a:t>TOTAL</a:t>
          </a:r>
          <a:r>
            <a:rPr lang="en-US" sz="1100" b="1" baseline="0">
              <a:solidFill>
                <a:srgbClr val="6B4E3D"/>
              </a:solidFill>
            </a:rPr>
            <a:t> ANNUAL RENENEUE</a:t>
          </a:r>
          <a:endParaRPr lang="en-US" sz="1400" b="1">
            <a:solidFill>
              <a:srgbClr val="6B4E3D"/>
            </a:solidFill>
          </a:endParaRPr>
        </a:p>
      </xdr:txBody>
    </xdr:sp>
    <xdr:clientData/>
  </xdr:twoCellAnchor>
  <xdr:twoCellAnchor>
    <xdr:from>
      <xdr:col>3</xdr:col>
      <xdr:colOff>344419</xdr:colOff>
      <xdr:row>14</xdr:row>
      <xdr:rowOff>104776</xdr:rowOff>
    </xdr:from>
    <xdr:to>
      <xdr:col>4</xdr:col>
      <xdr:colOff>14549</xdr:colOff>
      <xdr:row>17</xdr:row>
      <xdr:rowOff>151931</xdr:rowOff>
    </xdr:to>
    <xdr:sp macro="" textlink="">
      <xdr:nvSpPr>
        <xdr:cNvPr id="15" name="Text Box 1">
          <a:extLst>
            <a:ext uri="{FF2B5EF4-FFF2-40B4-BE49-F238E27FC236}">
              <a16:creationId xmlns:a16="http://schemas.microsoft.com/office/drawing/2014/main" id="{8B4BDF6B-95AE-4244-90DE-499D4DC68F5F}"/>
            </a:ext>
          </a:extLst>
        </xdr:cNvPr>
        <xdr:cNvSpPr txBox="1">
          <a:spLocks noChangeArrowheads="1"/>
        </xdr:cNvSpPr>
      </xdr:nvSpPr>
      <xdr:spPr bwMode="auto">
        <a:xfrm>
          <a:off x="2173219" y="2771776"/>
          <a:ext cx="279730" cy="618655"/>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600" b="0" i="0" u="none" strike="noStrike" baseline="0">
              <a:solidFill>
                <a:srgbClr val="6B4E3D"/>
              </a:solidFill>
              <a:latin typeface="Calibri"/>
              <a:cs typeface="Calibri"/>
            </a:rPr>
            <a:t>₹</a:t>
          </a:r>
          <a:endParaRPr lang="en-US" sz="1050" b="0" i="0" u="none" strike="noStrike" baseline="0">
            <a:solidFill>
              <a:srgbClr val="6B4E3D"/>
            </a:solidFill>
            <a:latin typeface="Calibri"/>
            <a:cs typeface="Calibri"/>
          </a:endParaRPr>
        </a:p>
      </xdr:txBody>
    </xdr:sp>
    <xdr:clientData/>
  </xdr:twoCellAnchor>
  <xdr:twoCellAnchor>
    <xdr:from>
      <xdr:col>4</xdr:col>
      <xdr:colOff>439668</xdr:colOff>
      <xdr:row>14</xdr:row>
      <xdr:rowOff>173567</xdr:rowOff>
    </xdr:from>
    <xdr:to>
      <xdr:col>6</xdr:col>
      <xdr:colOff>577251</xdr:colOff>
      <xdr:row>16</xdr:row>
      <xdr:rowOff>158750</xdr:rowOff>
    </xdr:to>
    <xdr:sp macro="" textlink="'Pivot Table 1'!B4">
      <xdr:nvSpPr>
        <xdr:cNvPr id="16" name="Rectangle: Rounded Corners 15">
          <a:extLst>
            <a:ext uri="{FF2B5EF4-FFF2-40B4-BE49-F238E27FC236}">
              <a16:creationId xmlns:a16="http://schemas.microsoft.com/office/drawing/2014/main" id="{233F8B59-2610-47A1-9B03-E814781165A4}"/>
            </a:ext>
          </a:extLst>
        </xdr:cNvPr>
        <xdr:cNvSpPr/>
      </xdr:nvSpPr>
      <xdr:spPr>
        <a:xfrm>
          <a:off x="2878068" y="2840567"/>
          <a:ext cx="1356783" cy="366183"/>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6DDC0B5-B4FE-40EB-83EB-3E5704B6D881}" type="TxLink">
            <a:rPr lang="en-US" sz="2800" b="1" i="0" u="none" strike="noStrike" baseline="0">
              <a:solidFill>
                <a:srgbClr val="6B4E3D"/>
              </a:solidFill>
              <a:latin typeface="Calibri"/>
              <a:cs typeface="Calibri"/>
            </a:rPr>
            <a:pPr algn="ctr"/>
            <a:t> </a:t>
          </a:fld>
          <a:endParaRPr lang="en-US" sz="4000" b="1">
            <a:solidFill>
              <a:srgbClr val="6B4E3D"/>
            </a:solidFill>
          </a:endParaRPr>
        </a:p>
      </xdr:txBody>
    </xdr:sp>
    <xdr:clientData/>
  </xdr:twoCellAnchor>
  <xdr:twoCellAnchor>
    <xdr:from>
      <xdr:col>3</xdr:col>
      <xdr:colOff>104775</xdr:colOff>
      <xdr:row>19</xdr:row>
      <xdr:rowOff>142875</xdr:rowOff>
    </xdr:from>
    <xdr:to>
      <xdr:col>20</xdr:col>
      <xdr:colOff>285750</xdr:colOff>
      <xdr:row>29</xdr:row>
      <xdr:rowOff>114300</xdr:rowOff>
    </xdr:to>
    <xdr:graphicFrame macro="">
      <xdr:nvGraphicFramePr>
        <xdr:cNvPr id="28" name="Chart 27">
          <a:extLst>
            <a:ext uri="{FF2B5EF4-FFF2-40B4-BE49-F238E27FC236}">
              <a16:creationId xmlns:a16="http://schemas.microsoft.com/office/drawing/2014/main" id="{5201B5F0-3038-47E3-B235-5D3CB7789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342301</xdr:colOff>
      <xdr:row>15</xdr:row>
      <xdr:rowOff>85726</xdr:rowOff>
    </xdr:from>
    <xdr:to>
      <xdr:col>6</xdr:col>
      <xdr:colOff>200025</xdr:colOff>
      <xdr:row>17</xdr:row>
      <xdr:rowOff>19050</xdr:rowOff>
    </xdr:to>
    <xdr:sp macro="" textlink="">
      <xdr:nvSpPr>
        <xdr:cNvPr id="29" name="Rectangle: Rounded Corners 28">
          <a:extLst>
            <a:ext uri="{FF2B5EF4-FFF2-40B4-BE49-F238E27FC236}">
              <a16:creationId xmlns:a16="http://schemas.microsoft.com/office/drawing/2014/main" id="{FD344C00-8E81-45DF-BA8E-CD6BF3B48ADD}"/>
            </a:ext>
          </a:extLst>
        </xdr:cNvPr>
        <xdr:cNvSpPr/>
      </xdr:nvSpPr>
      <xdr:spPr>
        <a:xfrm>
          <a:off x="2780701" y="2943226"/>
          <a:ext cx="1076924" cy="314324"/>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6B4E3D"/>
              </a:solidFill>
            </a:rPr>
            <a:t>302930</a:t>
          </a:r>
          <a:endParaRPr lang="en-US" sz="1000" b="1">
            <a:solidFill>
              <a:srgbClr val="6B4E3D"/>
            </a:solidFill>
          </a:endParaRPr>
        </a:p>
      </xdr:txBody>
    </xdr:sp>
    <xdr:clientData/>
  </xdr:twoCellAnchor>
  <xdr:twoCellAnchor>
    <xdr:from>
      <xdr:col>7</xdr:col>
      <xdr:colOff>114300</xdr:colOff>
      <xdr:row>14</xdr:row>
      <xdr:rowOff>47626</xdr:rowOff>
    </xdr:from>
    <xdr:to>
      <xdr:col>11</xdr:col>
      <xdr:colOff>54293</xdr:colOff>
      <xdr:row>17</xdr:row>
      <xdr:rowOff>103670</xdr:rowOff>
    </xdr:to>
    <xdr:sp macro="" textlink="">
      <xdr:nvSpPr>
        <xdr:cNvPr id="27" name="Rectangle: Rounded Corners 26">
          <a:extLst>
            <a:ext uri="{FF2B5EF4-FFF2-40B4-BE49-F238E27FC236}">
              <a16:creationId xmlns:a16="http://schemas.microsoft.com/office/drawing/2014/main" id="{9F63FE63-C314-4814-ABD2-9C6F8ADFBAA3}"/>
            </a:ext>
          </a:extLst>
        </xdr:cNvPr>
        <xdr:cNvSpPr/>
      </xdr:nvSpPr>
      <xdr:spPr>
        <a:xfrm>
          <a:off x="4381500" y="2714626"/>
          <a:ext cx="2378393" cy="627544"/>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7</xdr:col>
      <xdr:colOff>323250</xdr:colOff>
      <xdr:row>14</xdr:row>
      <xdr:rowOff>76200</xdr:rowOff>
    </xdr:from>
    <xdr:to>
      <xdr:col>11</xdr:col>
      <xdr:colOff>31979</xdr:colOff>
      <xdr:row>17</xdr:row>
      <xdr:rowOff>77025</xdr:rowOff>
    </xdr:to>
    <xdr:sp macro="" textlink="">
      <xdr:nvSpPr>
        <xdr:cNvPr id="31" name="Rectangle: Rounded Corners 30">
          <a:extLst>
            <a:ext uri="{FF2B5EF4-FFF2-40B4-BE49-F238E27FC236}">
              <a16:creationId xmlns:a16="http://schemas.microsoft.com/office/drawing/2014/main" id="{198A8EAD-EE5D-40EA-B828-4ECDAE2E4A25}"/>
            </a:ext>
          </a:extLst>
        </xdr:cNvPr>
        <xdr:cNvSpPr/>
      </xdr:nvSpPr>
      <xdr:spPr>
        <a:xfrm>
          <a:off x="4590450" y="2743200"/>
          <a:ext cx="2147129" cy="572325"/>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7</xdr:col>
      <xdr:colOff>219075</xdr:colOff>
      <xdr:row>14</xdr:row>
      <xdr:rowOff>0</xdr:rowOff>
    </xdr:from>
    <xdr:to>
      <xdr:col>11</xdr:col>
      <xdr:colOff>131932</xdr:colOff>
      <xdr:row>15</xdr:row>
      <xdr:rowOff>136543</xdr:rowOff>
    </xdr:to>
    <xdr:sp macro="" textlink="">
      <xdr:nvSpPr>
        <xdr:cNvPr id="32" name="Rectangle: Rounded Corners 31">
          <a:extLst>
            <a:ext uri="{FF2B5EF4-FFF2-40B4-BE49-F238E27FC236}">
              <a16:creationId xmlns:a16="http://schemas.microsoft.com/office/drawing/2014/main" id="{419B5176-62D8-4F2F-96AA-5A09E896924D}"/>
            </a:ext>
          </a:extLst>
        </xdr:cNvPr>
        <xdr:cNvSpPr/>
      </xdr:nvSpPr>
      <xdr:spPr>
        <a:xfrm>
          <a:off x="4486275" y="2667000"/>
          <a:ext cx="2351257" cy="32704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6B4E3D"/>
              </a:solidFill>
            </a:rPr>
            <a:t>TOTAL</a:t>
          </a:r>
          <a:r>
            <a:rPr lang="en-US" sz="1100" b="1" baseline="0">
              <a:solidFill>
                <a:srgbClr val="6B4E3D"/>
              </a:solidFill>
            </a:rPr>
            <a:t> CUP'S SOLD (TEA &amp; COFFEE)</a:t>
          </a:r>
          <a:endParaRPr lang="en-US" sz="1400" b="1">
            <a:solidFill>
              <a:srgbClr val="6B4E3D"/>
            </a:solidFill>
          </a:endParaRPr>
        </a:p>
      </xdr:txBody>
    </xdr:sp>
    <xdr:clientData/>
  </xdr:twoCellAnchor>
  <xdr:twoCellAnchor>
    <xdr:from>
      <xdr:col>8</xdr:col>
      <xdr:colOff>247051</xdr:colOff>
      <xdr:row>15</xdr:row>
      <xdr:rowOff>95251</xdr:rowOff>
    </xdr:from>
    <xdr:to>
      <xdr:col>10</xdr:col>
      <xdr:colOff>104775</xdr:colOff>
      <xdr:row>17</xdr:row>
      <xdr:rowOff>28575</xdr:rowOff>
    </xdr:to>
    <xdr:sp macro="" textlink="">
      <xdr:nvSpPr>
        <xdr:cNvPr id="33" name="Rectangle: Rounded Corners 32">
          <a:extLst>
            <a:ext uri="{FF2B5EF4-FFF2-40B4-BE49-F238E27FC236}">
              <a16:creationId xmlns:a16="http://schemas.microsoft.com/office/drawing/2014/main" id="{E194A2BE-BAF3-4777-9BB5-6E3EDF0D8781}"/>
            </a:ext>
          </a:extLst>
        </xdr:cNvPr>
        <xdr:cNvSpPr/>
      </xdr:nvSpPr>
      <xdr:spPr>
        <a:xfrm>
          <a:off x="5123851" y="2952751"/>
          <a:ext cx="1076924" cy="314324"/>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6B4E3D"/>
              </a:solidFill>
            </a:rPr>
            <a:t>824</a:t>
          </a:r>
        </a:p>
      </xdr:txBody>
    </xdr:sp>
    <xdr:clientData/>
  </xdr:twoCellAnchor>
  <xdr:twoCellAnchor editAs="oneCell">
    <xdr:from>
      <xdr:col>0</xdr:col>
      <xdr:colOff>447675</xdr:colOff>
      <xdr:row>1</xdr:row>
      <xdr:rowOff>47625</xdr:rowOff>
    </xdr:from>
    <xdr:to>
      <xdr:col>1</xdr:col>
      <xdr:colOff>571500</xdr:colOff>
      <xdr:row>4</xdr:row>
      <xdr:rowOff>74998</xdr:rowOff>
    </xdr:to>
    <xdr:pic>
      <xdr:nvPicPr>
        <xdr:cNvPr id="20" name="Picture 19">
          <a:extLst>
            <a:ext uri="{FF2B5EF4-FFF2-40B4-BE49-F238E27FC236}">
              <a16:creationId xmlns:a16="http://schemas.microsoft.com/office/drawing/2014/main" id="{95CF4BF1-23CF-44D7-9165-56CBA79727A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7675" y="238125"/>
          <a:ext cx="733425" cy="598873"/>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85725</xdr:colOff>
      <xdr:row>8</xdr:row>
      <xdr:rowOff>104775</xdr:rowOff>
    </xdr:from>
    <xdr:to>
      <xdr:col>2</xdr:col>
      <xdr:colOff>247650</xdr:colOff>
      <xdr:row>10</xdr:row>
      <xdr:rowOff>57149</xdr:rowOff>
    </xdr:to>
    <xdr:sp macro="" textlink="">
      <xdr:nvSpPr>
        <xdr:cNvPr id="56" name="Rectangle: Rounded Corners 55">
          <a:hlinkClick xmlns:r="http://schemas.openxmlformats.org/officeDocument/2006/relationships" r:id="rId5"/>
          <a:extLst>
            <a:ext uri="{FF2B5EF4-FFF2-40B4-BE49-F238E27FC236}">
              <a16:creationId xmlns:a16="http://schemas.microsoft.com/office/drawing/2014/main" id="{09CF6D3F-7AEA-45F6-9F09-3EF4A8990CB9}"/>
            </a:ext>
          </a:extLst>
        </xdr:cNvPr>
        <xdr:cNvSpPr/>
      </xdr:nvSpPr>
      <xdr:spPr>
        <a:xfrm>
          <a:off x="85725" y="16287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85724</xdr:colOff>
      <xdr:row>11</xdr:row>
      <xdr:rowOff>2</xdr:rowOff>
    </xdr:from>
    <xdr:to>
      <xdr:col>2</xdr:col>
      <xdr:colOff>247649</xdr:colOff>
      <xdr:row>12</xdr:row>
      <xdr:rowOff>142876</xdr:rowOff>
    </xdr:to>
    <xdr:sp macro="" textlink="">
      <xdr:nvSpPr>
        <xdr:cNvPr id="57" name="Rectangle: Rounded Corners 56">
          <a:hlinkClick xmlns:r="http://schemas.openxmlformats.org/officeDocument/2006/relationships" r:id="rId6"/>
          <a:extLst>
            <a:ext uri="{FF2B5EF4-FFF2-40B4-BE49-F238E27FC236}">
              <a16:creationId xmlns:a16="http://schemas.microsoft.com/office/drawing/2014/main" id="{0995C5DE-DB04-4712-AC71-56D53E3904E8}"/>
            </a:ext>
          </a:extLst>
        </xdr:cNvPr>
        <xdr:cNvSpPr/>
      </xdr:nvSpPr>
      <xdr:spPr>
        <a:xfrm>
          <a:off x="85724" y="2095502"/>
          <a:ext cx="1381125" cy="333374"/>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85724</xdr:colOff>
      <xdr:row>13</xdr:row>
      <xdr:rowOff>47627</xdr:rowOff>
    </xdr:from>
    <xdr:to>
      <xdr:col>2</xdr:col>
      <xdr:colOff>247649</xdr:colOff>
      <xdr:row>15</xdr:row>
      <xdr:rowOff>1</xdr:rowOff>
    </xdr:to>
    <xdr:sp macro="" textlink="">
      <xdr:nvSpPr>
        <xdr:cNvPr id="58" name="Rectangle: Rounded Corners 57">
          <a:hlinkClick xmlns:r="http://schemas.openxmlformats.org/officeDocument/2006/relationships" r:id="rId7"/>
          <a:extLst>
            <a:ext uri="{FF2B5EF4-FFF2-40B4-BE49-F238E27FC236}">
              <a16:creationId xmlns:a16="http://schemas.microsoft.com/office/drawing/2014/main" id="{D79BAC69-CC04-4D12-90DE-88849161C8A5}"/>
            </a:ext>
          </a:extLst>
        </xdr:cNvPr>
        <xdr:cNvSpPr/>
      </xdr:nvSpPr>
      <xdr:spPr>
        <a:xfrm>
          <a:off x="85724" y="2524127"/>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66675</xdr:colOff>
      <xdr:row>15</xdr:row>
      <xdr:rowOff>95250</xdr:rowOff>
    </xdr:from>
    <xdr:to>
      <xdr:col>2</xdr:col>
      <xdr:colOff>228600</xdr:colOff>
      <xdr:row>17</xdr:row>
      <xdr:rowOff>47624</xdr:rowOff>
    </xdr:to>
    <xdr:sp macro="" textlink="">
      <xdr:nvSpPr>
        <xdr:cNvPr id="59" name="Rectangle: Rounded Corners 58">
          <a:hlinkClick xmlns:r="http://schemas.openxmlformats.org/officeDocument/2006/relationships" r:id="rId8"/>
          <a:extLst>
            <a:ext uri="{FF2B5EF4-FFF2-40B4-BE49-F238E27FC236}">
              <a16:creationId xmlns:a16="http://schemas.microsoft.com/office/drawing/2014/main" id="{5603A297-94B2-4BB8-B493-D2FCC900195B}"/>
            </a:ext>
          </a:extLst>
        </xdr:cNvPr>
        <xdr:cNvSpPr/>
      </xdr:nvSpPr>
      <xdr:spPr>
        <a:xfrm>
          <a:off x="66675" y="295275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76200</xdr:colOff>
      <xdr:row>17</xdr:row>
      <xdr:rowOff>142875</xdr:rowOff>
    </xdr:from>
    <xdr:to>
      <xdr:col>2</xdr:col>
      <xdr:colOff>238125</xdr:colOff>
      <xdr:row>19</xdr:row>
      <xdr:rowOff>95249</xdr:rowOff>
    </xdr:to>
    <xdr:sp macro="" textlink="">
      <xdr:nvSpPr>
        <xdr:cNvPr id="60" name="Rectangle: Rounded Corners 59">
          <a:hlinkClick xmlns:r="http://schemas.openxmlformats.org/officeDocument/2006/relationships" r:id="rId9"/>
          <a:extLst>
            <a:ext uri="{FF2B5EF4-FFF2-40B4-BE49-F238E27FC236}">
              <a16:creationId xmlns:a16="http://schemas.microsoft.com/office/drawing/2014/main" id="{73D218D5-E48A-4F13-A12A-F33C2D7A1AA2}"/>
            </a:ext>
          </a:extLst>
        </xdr:cNvPr>
        <xdr:cNvSpPr/>
      </xdr:nvSpPr>
      <xdr:spPr>
        <a:xfrm>
          <a:off x="76200" y="33813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95250</xdr:colOff>
      <xdr:row>20</xdr:row>
      <xdr:rowOff>19049</xdr:rowOff>
    </xdr:from>
    <xdr:to>
      <xdr:col>2</xdr:col>
      <xdr:colOff>247650</xdr:colOff>
      <xdr:row>21</xdr:row>
      <xdr:rowOff>161925</xdr:rowOff>
    </xdr:to>
    <xdr:sp macro="" textlink="">
      <xdr:nvSpPr>
        <xdr:cNvPr id="61" name="Rectangle: Rounded Corners 60">
          <a:hlinkClick xmlns:r="http://schemas.openxmlformats.org/officeDocument/2006/relationships" r:id="rId10"/>
          <a:extLst>
            <a:ext uri="{FF2B5EF4-FFF2-40B4-BE49-F238E27FC236}">
              <a16:creationId xmlns:a16="http://schemas.microsoft.com/office/drawing/2014/main" id="{E7751300-1A3D-4C3E-9DFA-7DA4B141392D}"/>
            </a:ext>
          </a:extLst>
        </xdr:cNvPr>
        <xdr:cNvSpPr/>
      </xdr:nvSpPr>
      <xdr:spPr>
        <a:xfrm>
          <a:off x="95250" y="3829049"/>
          <a:ext cx="1371600" cy="333376"/>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95250</xdr:colOff>
      <xdr:row>22</xdr:row>
      <xdr:rowOff>76200</xdr:rowOff>
    </xdr:from>
    <xdr:to>
      <xdr:col>2</xdr:col>
      <xdr:colOff>257175</xdr:colOff>
      <xdr:row>24</xdr:row>
      <xdr:rowOff>28574</xdr:rowOff>
    </xdr:to>
    <xdr:sp macro="" textlink="">
      <xdr:nvSpPr>
        <xdr:cNvPr id="62" name="Rectangle: Rounded Corners 61">
          <a:hlinkClick xmlns:r="http://schemas.openxmlformats.org/officeDocument/2006/relationships" r:id="rId11"/>
          <a:extLst>
            <a:ext uri="{FF2B5EF4-FFF2-40B4-BE49-F238E27FC236}">
              <a16:creationId xmlns:a16="http://schemas.microsoft.com/office/drawing/2014/main" id="{B21CC0CB-B8C0-43B9-8097-17D4AADFC795}"/>
            </a:ext>
          </a:extLst>
        </xdr:cNvPr>
        <xdr:cNvSpPr/>
      </xdr:nvSpPr>
      <xdr:spPr>
        <a:xfrm>
          <a:off x="95250" y="426720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76201</xdr:colOff>
      <xdr:row>0</xdr:row>
      <xdr:rowOff>57150</xdr:rowOff>
    </xdr:from>
    <xdr:to>
      <xdr:col>20</xdr:col>
      <xdr:colOff>457200</xdr:colOff>
      <xdr:row>30</xdr:row>
      <xdr:rowOff>66675</xdr:rowOff>
    </xdr:to>
    <xdr:sp macro="" textlink="">
      <xdr:nvSpPr>
        <xdr:cNvPr id="23" name="Rectangle: Rounded Corners 22">
          <a:extLst>
            <a:ext uri="{FF2B5EF4-FFF2-40B4-BE49-F238E27FC236}">
              <a16:creationId xmlns:a16="http://schemas.microsoft.com/office/drawing/2014/main" id="{ED208DF0-9775-4A97-9A27-5EBD450BF22B}"/>
            </a:ext>
          </a:extLst>
        </xdr:cNvPr>
        <xdr:cNvSpPr/>
      </xdr:nvSpPr>
      <xdr:spPr>
        <a:xfrm>
          <a:off x="76201" y="57150"/>
          <a:ext cx="12572999" cy="5724525"/>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323850</xdr:colOff>
      <xdr:row>0</xdr:row>
      <xdr:rowOff>76200</xdr:rowOff>
    </xdr:from>
    <xdr:to>
      <xdr:col>20</xdr:col>
      <xdr:colOff>438150</xdr:colOff>
      <xdr:row>30</xdr:row>
      <xdr:rowOff>38100</xdr:rowOff>
    </xdr:to>
    <xdr:sp macro="" textlink="">
      <xdr:nvSpPr>
        <xdr:cNvPr id="3" name="Rectangle: Rounded Corners 2">
          <a:extLst>
            <a:ext uri="{FF2B5EF4-FFF2-40B4-BE49-F238E27FC236}">
              <a16:creationId xmlns:a16="http://schemas.microsoft.com/office/drawing/2014/main" id="{E740053F-C30C-46DC-8101-2A8B902A058E}"/>
            </a:ext>
          </a:extLst>
        </xdr:cNvPr>
        <xdr:cNvSpPr/>
      </xdr:nvSpPr>
      <xdr:spPr>
        <a:xfrm>
          <a:off x="1543050" y="76200"/>
          <a:ext cx="11087100" cy="5676900"/>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504824</xdr:colOff>
      <xdr:row>1</xdr:row>
      <xdr:rowOff>133351</xdr:rowOff>
    </xdr:from>
    <xdr:to>
      <xdr:col>10</xdr:col>
      <xdr:colOff>593774</xdr:colOff>
      <xdr:row>5</xdr:row>
      <xdr:rowOff>127351</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3888E4E5-E07D-46A7-B7CA-CB3F805F263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24024" y="323851"/>
              <a:ext cx="4965750" cy="75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1</xdr:row>
      <xdr:rowOff>133350</xdr:rowOff>
    </xdr:from>
    <xdr:to>
      <xdr:col>20</xdr:col>
      <xdr:colOff>142875</xdr:colOff>
      <xdr:row>5</xdr:row>
      <xdr:rowOff>133350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2865A34-D974-4D0E-A154-57F4068FF43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867525" y="323850"/>
              <a:ext cx="546735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6</xdr:row>
      <xdr:rowOff>66676</xdr:rowOff>
    </xdr:from>
    <xdr:to>
      <xdr:col>20</xdr:col>
      <xdr:colOff>142875</xdr:colOff>
      <xdr:row>9</xdr:row>
      <xdr:rowOff>161926</xdr:rowOff>
    </xdr:to>
    <mc:AlternateContent xmlns:mc="http://schemas.openxmlformats.org/markup-compatibility/2006" xmlns:a14="http://schemas.microsoft.com/office/drawing/2010/main">
      <mc:Choice Requires="a14">
        <xdr:graphicFrame macro="">
          <xdr:nvGraphicFramePr>
            <xdr:cNvPr id="6" name="Month 2">
              <a:extLst>
                <a:ext uri="{FF2B5EF4-FFF2-40B4-BE49-F238E27FC236}">
                  <a16:creationId xmlns:a16="http://schemas.microsoft.com/office/drawing/2014/main" id="{436A1576-A126-492F-AD3F-7FD9F9B4AB8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733550" y="1209676"/>
              <a:ext cx="10601325"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342898</xdr:colOff>
      <xdr:row>10</xdr:row>
      <xdr:rowOff>161925</xdr:rowOff>
    </xdr:from>
    <xdr:to>
      <xdr:col>9</xdr:col>
      <xdr:colOff>400050</xdr:colOff>
      <xdr:row>12</xdr:row>
      <xdr:rowOff>152400</xdr:rowOff>
    </xdr:to>
    <xdr:sp macro="" textlink="">
      <xdr:nvSpPr>
        <xdr:cNvPr id="7" name="Rectangle: Rounded Corners 6">
          <a:extLst>
            <a:ext uri="{FF2B5EF4-FFF2-40B4-BE49-F238E27FC236}">
              <a16:creationId xmlns:a16="http://schemas.microsoft.com/office/drawing/2014/main" id="{430F5708-6192-46B9-A90B-73C9C18A6D20}"/>
            </a:ext>
          </a:extLst>
        </xdr:cNvPr>
        <xdr:cNvSpPr/>
      </xdr:nvSpPr>
      <xdr:spPr>
        <a:xfrm>
          <a:off x="2171698" y="2066925"/>
          <a:ext cx="3714752" cy="371475"/>
        </a:xfrm>
        <a:prstGeom prst="roundRect">
          <a:avLst>
            <a:gd name="adj" fmla="val 30181"/>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rgbClr val="6B4E3D"/>
              </a:solidFill>
              <a:latin typeface="Times New Roman" panose="02020603050405020304" pitchFamily="18" charset="0"/>
              <a:cs typeface="Times New Roman" panose="02020603050405020304" pitchFamily="18" charset="0"/>
            </a:rPr>
            <a:t>BRANCH &amp; REGION ANALYSIS</a:t>
          </a:r>
          <a:endParaRPr lang="en-US" sz="1200" b="1">
            <a:solidFill>
              <a:srgbClr val="6B4E3D"/>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504825</xdr:colOff>
      <xdr:row>14</xdr:row>
      <xdr:rowOff>95250</xdr:rowOff>
    </xdr:from>
    <xdr:to>
      <xdr:col>11</xdr:col>
      <xdr:colOff>333375</xdr:colOff>
      <xdr:row>29</xdr:row>
      <xdr:rowOff>95250</xdr:rowOff>
    </xdr:to>
    <xdr:graphicFrame macro="">
      <xdr:nvGraphicFramePr>
        <xdr:cNvPr id="19" name="Chart 18">
          <a:extLst>
            <a:ext uri="{FF2B5EF4-FFF2-40B4-BE49-F238E27FC236}">
              <a16:creationId xmlns:a16="http://schemas.microsoft.com/office/drawing/2014/main" id="{82316D84-3E2B-4E04-8210-F14291D5D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476251</xdr:colOff>
      <xdr:row>14</xdr:row>
      <xdr:rowOff>114300</xdr:rowOff>
    </xdr:from>
    <xdr:to>
      <xdr:col>20</xdr:col>
      <xdr:colOff>180975</xdr:colOff>
      <xdr:row>29</xdr:row>
      <xdr:rowOff>85725</xdr:rowOff>
    </xdr:to>
    <xdr:graphicFrame macro="">
      <xdr:nvGraphicFramePr>
        <xdr:cNvPr id="20" name="Chart 19">
          <a:extLst>
            <a:ext uri="{FF2B5EF4-FFF2-40B4-BE49-F238E27FC236}">
              <a16:creationId xmlns:a16="http://schemas.microsoft.com/office/drawing/2014/main" id="{D336D8B2-B1A3-4005-8057-B1267114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390526</xdr:colOff>
      <xdr:row>10</xdr:row>
      <xdr:rowOff>152400</xdr:rowOff>
    </xdr:from>
    <xdr:to>
      <xdr:col>3</xdr:col>
      <xdr:colOff>276226</xdr:colOff>
      <xdr:row>13</xdr:row>
      <xdr:rowOff>38101</xdr:rowOff>
    </xdr:to>
    <xdr:pic>
      <xdr:nvPicPr>
        <xdr:cNvPr id="8" name="Graphic 7" descr="Research with solid fill">
          <a:extLst>
            <a:ext uri="{FF2B5EF4-FFF2-40B4-BE49-F238E27FC236}">
              <a16:creationId xmlns:a16="http://schemas.microsoft.com/office/drawing/2014/main" id="{81D550AA-C110-4544-BB22-E34ACA3F31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09726" y="2057400"/>
          <a:ext cx="495300" cy="457201"/>
        </a:xfrm>
        <a:prstGeom prst="rect">
          <a:avLst/>
        </a:prstGeom>
      </xdr:spPr>
    </xdr:pic>
    <xdr:clientData/>
  </xdr:twoCellAnchor>
  <xdr:twoCellAnchor editAs="oneCell">
    <xdr:from>
      <xdr:col>0</xdr:col>
      <xdr:colOff>419100</xdr:colOff>
      <xdr:row>1</xdr:row>
      <xdr:rowOff>0</xdr:rowOff>
    </xdr:from>
    <xdr:to>
      <xdr:col>1</xdr:col>
      <xdr:colOff>542925</xdr:colOff>
      <xdr:row>4</xdr:row>
      <xdr:rowOff>17848</xdr:rowOff>
    </xdr:to>
    <xdr:pic>
      <xdr:nvPicPr>
        <xdr:cNvPr id="13" name="Picture 12">
          <a:extLst>
            <a:ext uri="{FF2B5EF4-FFF2-40B4-BE49-F238E27FC236}">
              <a16:creationId xmlns:a16="http://schemas.microsoft.com/office/drawing/2014/main" id="{DA65CEBE-DB17-4475-BC9E-3FC487E6E1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9100" y="190500"/>
          <a:ext cx="733425" cy="589348"/>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123826</xdr:colOff>
      <xdr:row>8</xdr:row>
      <xdr:rowOff>85725</xdr:rowOff>
    </xdr:from>
    <xdr:to>
      <xdr:col>2</xdr:col>
      <xdr:colOff>285751</xdr:colOff>
      <xdr:row>10</xdr:row>
      <xdr:rowOff>38099</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51419C14-7F9B-4500-B7D3-3F91938902DF}"/>
            </a:ext>
          </a:extLst>
        </xdr:cNvPr>
        <xdr:cNvSpPr/>
      </xdr:nvSpPr>
      <xdr:spPr>
        <a:xfrm>
          <a:off x="123826" y="160972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123825</xdr:colOff>
      <xdr:row>10</xdr:row>
      <xdr:rowOff>171452</xdr:rowOff>
    </xdr:from>
    <xdr:to>
      <xdr:col>2</xdr:col>
      <xdr:colOff>285750</xdr:colOff>
      <xdr:row>12</xdr:row>
      <xdr:rowOff>123826</xdr:rowOff>
    </xdr:to>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9264CEE9-B87C-4EF6-A783-EBD28977F4D6}"/>
            </a:ext>
          </a:extLst>
        </xdr:cNvPr>
        <xdr:cNvSpPr/>
      </xdr:nvSpPr>
      <xdr:spPr>
        <a:xfrm>
          <a:off x="123825" y="2076452"/>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123825</xdr:colOff>
      <xdr:row>13</xdr:row>
      <xdr:rowOff>28577</xdr:rowOff>
    </xdr:from>
    <xdr:to>
      <xdr:col>2</xdr:col>
      <xdr:colOff>285750</xdr:colOff>
      <xdr:row>14</xdr:row>
      <xdr:rowOff>171451</xdr:rowOff>
    </xdr:to>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9A68CB42-B60F-4F8B-8F4E-B26E0EAB7F24}"/>
            </a:ext>
          </a:extLst>
        </xdr:cNvPr>
        <xdr:cNvSpPr/>
      </xdr:nvSpPr>
      <xdr:spPr>
        <a:xfrm>
          <a:off x="123825" y="2505077"/>
          <a:ext cx="1381125" cy="333374"/>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104776</xdr:colOff>
      <xdr:row>15</xdr:row>
      <xdr:rowOff>76200</xdr:rowOff>
    </xdr:from>
    <xdr:to>
      <xdr:col>2</xdr:col>
      <xdr:colOff>266701</xdr:colOff>
      <xdr:row>17</xdr:row>
      <xdr:rowOff>28574</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1E25E0A9-FE9E-42ED-93E0-0EA2ACCD6E4C}"/>
            </a:ext>
          </a:extLst>
        </xdr:cNvPr>
        <xdr:cNvSpPr/>
      </xdr:nvSpPr>
      <xdr:spPr>
        <a:xfrm>
          <a:off x="104776" y="293370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114301</xdr:colOff>
      <xdr:row>17</xdr:row>
      <xdr:rowOff>123825</xdr:rowOff>
    </xdr:from>
    <xdr:to>
      <xdr:col>2</xdr:col>
      <xdr:colOff>276226</xdr:colOff>
      <xdr:row>19</xdr:row>
      <xdr:rowOff>76199</xdr:rowOff>
    </xdr:to>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0D1DB856-543C-4246-B749-0F5AEFEE3120}"/>
            </a:ext>
          </a:extLst>
        </xdr:cNvPr>
        <xdr:cNvSpPr/>
      </xdr:nvSpPr>
      <xdr:spPr>
        <a:xfrm>
          <a:off x="114301" y="336232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133351</xdr:colOff>
      <xdr:row>19</xdr:row>
      <xdr:rowOff>190499</xdr:rowOff>
    </xdr:from>
    <xdr:to>
      <xdr:col>2</xdr:col>
      <xdr:colOff>285751</xdr:colOff>
      <xdr:row>21</xdr:row>
      <xdr:rowOff>142875</xdr:rowOff>
    </xdr:to>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2D8D713A-63D3-45B3-9C4D-06DB90377CB7}"/>
            </a:ext>
          </a:extLst>
        </xdr:cNvPr>
        <xdr:cNvSpPr/>
      </xdr:nvSpPr>
      <xdr:spPr>
        <a:xfrm>
          <a:off x="133351" y="3809999"/>
          <a:ext cx="1371600" cy="333376"/>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133351</xdr:colOff>
      <xdr:row>22</xdr:row>
      <xdr:rowOff>57150</xdr:rowOff>
    </xdr:from>
    <xdr:to>
      <xdr:col>2</xdr:col>
      <xdr:colOff>295276</xdr:colOff>
      <xdr:row>24</xdr:row>
      <xdr:rowOff>9524</xdr:rowOff>
    </xdr:to>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3FA03C85-8FB8-4A47-870A-53FDE22DD7A5}"/>
            </a:ext>
          </a:extLst>
        </xdr:cNvPr>
        <xdr:cNvSpPr/>
      </xdr:nvSpPr>
      <xdr:spPr>
        <a:xfrm>
          <a:off x="133351" y="424815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47624</xdr:colOff>
      <xdr:row>0</xdr:row>
      <xdr:rowOff>57150</xdr:rowOff>
    </xdr:from>
    <xdr:to>
      <xdr:col>20</xdr:col>
      <xdr:colOff>457199</xdr:colOff>
      <xdr:row>30</xdr:row>
      <xdr:rowOff>104775</xdr:rowOff>
    </xdr:to>
    <xdr:sp macro="" textlink="">
      <xdr:nvSpPr>
        <xdr:cNvPr id="2" name="Rectangle: Rounded Corners 1">
          <a:extLst>
            <a:ext uri="{FF2B5EF4-FFF2-40B4-BE49-F238E27FC236}">
              <a16:creationId xmlns:a16="http://schemas.microsoft.com/office/drawing/2014/main" id="{47932940-88DD-4C9F-BB0F-06B3308B5BA9}"/>
            </a:ext>
          </a:extLst>
        </xdr:cNvPr>
        <xdr:cNvSpPr/>
      </xdr:nvSpPr>
      <xdr:spPr>
        <a:xfrm>
          <a:off x="47624" y="57150"/>
          <a:ext cx="12601575" cy="5762625"/>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2</xdr:col>
      <xdr:colOff>295275</xdr:colOff>
      <xdr:row>0</xdr:row>
      <xdr:rowOff>47625</xdr:rowOff>
    </xdr:from>
    <xdr:to>
      <xdr:col>20</xdr:col>
      <xdr:colOff>438148</xdr:colOff>
      <xdr:row>30</xdr:row>
      <xdr:rowOff>66675</xdr:rowOff>
    </xdr:to>
    <xdr:sp macro="" textlink="">
      <xdr:nvSpPr>
        <xdr:cNvPr id="3" name="Rectangle: Rounded Corners 2">
          <a:extLst>
            <a:ext uri="{FF2B5EF4-FFF2-40B4-BE49-F238E27FC236}">
              <a16:creationId xmlns:a16="http://schemas.microsoft.com/office/drawing/2014/main" id="{6A6C4C09-2F1B-4143-A37D-250ED34EDD60}"/>
            </a:ext>
          </a:extLst>
        </xdr:cNvPr>
        <xdr:cNvSpPr/>
      </xdr:nvSpPr>
      <xdr:spPr>
        <a:xfrm>
          <a:off x="1514475" y="47625"/>
          <a:ext cx="11115673" cy="5734050"/>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600073</xdr:colOff>
      <xdr:row>0</xdr:row>
      <xdr:rowOff>123826</xdr:rowOff>
    </xdr:from>
    <xdr:to>
      <xdr:col>11</xdr:col>
      <xdr:colOff>76200</xdr:colOff>
      <xdr:row>4</xdr:row>
      <xdr:rowOff>117826</xdr:rowOff>
    </xdr:to>
    <mc:AlternateContent xmlns:mc="http://schemas.openxmlformats.org/markup-compatibility/2006" xmlns:a14="http://schemas.microsoft.com/office/drawing/2010/main">
      <mc:Choice Requires="a14">
        <xdr:graphicFrame macro="">
          <xdr:nvGraphicFramePr>
            <xdr:cNvPr id="4" name="Category 3">
              <a:extLst>
                <a:ext uri="{FF2B5EF4-FFF2-40B4-BE49-F238E27FC236}">
                  <a16:creationId xmlns:a16="http://schemas.microsoft.com/office/drawing/2014/main" id="{CB7B26E5-8200-47D0-BCE1-500C7CAA7A56}"/>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819273" y="123826"/>
              <a:ext cx="4962527" cy="75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0</xdr:row>
      <xdr:rowOff>95250</xdr:rowOff>
    </xdr:from>
    <xdr:to>
      <xdr:col>20</xdr:col>
      <xdr:colOff>180974</xdr:colOff>
      <xdr:row>4</xdr:row>
      <xdr:rowOff>95250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BD605A-F066-437C-8F11-B53D44494A8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819900" y="95250"/>
              <a:ext cx="5553074"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457199</xdr:colOff>
      <xdr:row>5</xdr:row>
      <xdr:rowOff>1</xdr:rowOff>
    </xdr:from>
    <xdr:to>
      <xdr:col>20</xdr:col>
      <xdr:colOff>200025</xdr:colOff>
      <xdr:row>8</xdr:row>
      <xdr:rowOff>95251</xdr:rowOff>
    </xdr:to>
    <mc:AlternateContent xmlns:mc="http://schemas.openxmlformats.org/markup-compatibility/2006" xmlns:a14="http://schemas.microsoft.com/office/drawing/2010/main">
      <mc:Choice Requires="a14">
        <xdr:graphicFrame macro="">
          <xdr:nvGraphicFramePr>
            <xdr:cNvPr id="6" name="Month 3">
              <a:extLst>
                <a:ext uri="{FF2B5EF4-FFF2-40B4-BE49-F238E27FC236}">
                  <a16:creationId xmlns:a16="http://schemas.microsoft.com/office/drawing/2014/main" id="{CB53D95C-AC63-4F53-85FA-4EF3456EFEE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676399" y="952501"/>
              <a:ext cx="10715626"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304797</xdr:colOff>
      <xdr:row>9</xdr:row>
      <xdr:rowOff>76200</xdr:rowOff>
    </xdr:from>
    <xdr:to>
      <xdr:col>9</xdr:col>
      <xdr:colOff>466725</xdr:colOff>
      <xdr:row>11</xdr:row>
      <xdr:rowOff>66675</xdr:rowOff>
    </xdr:to>
    <xdr:sp macro="" textlink="">
      <xdr:nvSpPr>
        <xdr:cNvPr id="7" name="Rectangle: Rounded Corners 6">
          <a:extLst>
            <a:ext uri="{FF2B5EF4-FFF2-40B4-BE49-F238E27FC236}">
              <a16:creationId xmlns:a16="http://schemas.microsoft.com/office/drawing/2014/main" id="{476A499E-5C89-4E1C-8508-4797DD9FB162}"/>
            </a:ext>
          </a:extLst>
        </xdr:cNvPr>
        <xdr:cNvSpPr/>
      </xdr:nvSpPr>
      <xdr:spPr>
        <a:xfrm>
          <a:off x="2133597" y="1790700"/>
          <a:ext cx="3819528" cy="371475"/>
        </a:xfrm>
        <a:prstGeom prst="roundRect">
          <a:avLst>
            <a:gd name="adj" fmla="val 30181"/>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500" b="1">
              <a:solidFill>
                <a:srgbClr val="6B4E3D"/>
              </a:solidFill>
              <a:latin typeface="Times New Roman" panose="02020603050405020304" pitchFamily="18" charset="0"/>
              <a:cs typeface="Times New Roman" panose="02020603050405020304" pitchFamily="18" charset="0"/>
            </a:rPr>
            <a:t>PRODUCT'S</a:t>
          </a:r>
          <a:r>
            <a:rPr lang="en-US" sz="1500" b="1" baseline="0">
              <a:solidFill>
                <a:srgbClr val="6B4E3D"/>
              </a:solidFill>
              <a:latin typeface="Times New Roman" panose="02020603050405020304" pitchFamily="18" charset="0"/>
              <a:cs typeface="Times New Roman" panose="02020603050405020304" pitchFamily="18" charset="0"/>
            </a:rPr>
            <a:t> &amp; CATEGORY INSIGHT'S</a:t>
          </a:r>
          <a:endParaRPr lang="en-US" sz="1500" b="1">
            <a:solidFill>
              <a:srgbClr val="6B4E3D"/>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323851</xdr:colOff>
      <xdr:row>10</xdr:row>
      <xdr:rowOff>104775</xdr:rowOff>
    </xdr:from>
    <xdr:to>
      <xdr:col>20</xdr:col>
      <xdr:colOff>142877</xdr:colOff>
      <xdr:row>19</xdr:row>
      <xdr:rowOff>126206</xdr:rowOff>
    </xdr:to>
    <xdr:graphicFrame macro="">
      <xdr:nvGraphicFramePr>
        <xdr:cNvPr id="11" name="Chart 10">
          <a:extLst>
            <a:ext uri="{FF2B5EF4-FFF2-40B4-BE49-F238E27FC236}">
              <a16:creationId xmlns:a16="http://schemas.microsoft.com/office/drawing/2014/main" id="{04F180DE-4DDA-4F8B-8629-4305448B9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323850</xdr:colOff>
      <xdr:row>20</xdr:row>
      <xdr:rowOff>104774</xdr:rowOff>
    </xdr:from>
    <xdr:to>
      <xdr:col>20</xdr:col>
      <xdr:colOff>180976</xdr:colOff>
      <xdr:row>29</xdr:row>
      <xdr:rowOff>38099</xdr:rowOff>
    </xdr:to>
    <xdr:graphicFrame macro="">
      <xdr:nvGraphicFramePr>
        <xdr:cNvPr id="12" name="Chart 11">
          <a:extLst>
            <a:ext uri="{FF2B5EF4-FFF2-40B4-BE49-F238E27FC236}">
              <a16:creationId xmlns:a16="http://schemas.microsoft.com/office/drawing/2014/main" id="{B4A1366C-E4DB-4AE2-83B4-4760489A1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12</xdr:row>
      <xdr:rowOff>38100</xdr:rowOff>
    </xdr:from>
    <xdr:to>
      <xdr:col>10</xdr:col>
      <xdr:colOff>285750</xdr:colOff>
      <xdr:row>29</xdr:row>
      <xdr:rowOff>9525</xdr:rowOff>
    </xdr:to>
    <xdr:graphicFrame macro="">
      <xdr:nvGraphicFramePr>
        <xdr:cNvPr id="13" name="Chart 12">
          <a:extLst>
            <a:ext uri="{FF2B5EF4-FFF2-40B4-BE49-F238E27FC236}">
              <a16:creationId xmlns:a16="http://schemas.microsoft.com/office/drawing/2014/main" id="{4A879F2D-04BD-483A-93B4-A08BFF45B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428625</xdr:colOff>
      <xdr:row>9</xdr:row>
      <xdr:rowOff>66675</xdr:rowOff>
    </xdr:from>
    <xdr:to>
      <xdr:col>3</xdr:col>
      <xdr:colOff>228600</xdr:colOff>
      <xdr:row>11</xdr:row>
      <xdr:rowOff>95250</xdr:rowOff>
    </xdr:to>
    <xdr:pic>
      <xdr:nvPicPr>
        <xdr:cNvPr id="9" name="Graphic 8" descr="List with solid fill">
          <a:extLst>
            <a:ext uri="{FF2B5EF4-FFF2-40B4-BE49-F238E27FC236}">
              <a16:creationId xmlns:a16="http://schemas.microsoft.com/office/drawing/2014/main" id="{A6AD9AE8-611A-403E-928E-5B3E5643D59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47825" y="1781175"/>
          <a:ext cx="409575" cy="409575"/>
        </a:xfrm>
        <a:prstGeom prst="rect">
          <a:avLst/>
        </a:prstGeom>
      </xdr:spPr>
    </xdr:pic>
    <xdr:clientData/>
  </xdr:twoCellAnchor>
  <xdr:twoCellAnchor editAs="oneCell">
    <xdr:from>
      <xdr:col>0</xdr:col>
      <xdr:colOff>428625</xdr:colOff>
      <xdr:row>1</xdr:row>
      <xdr:rowOff>0</xdr:rowOff>
    </xdr:from>
    <xdr:to>
      <xdr:col>1</xdr:col>
      <xdr:colOff>542925</xdr:colOff>
      <xdr:row>3</xdr:row>
      <xdr:rowOff>189298</xdr:rowOff>
    </xdr:to>
    <xdr:pic>
      <xdr:nvPicPr>
        <xdr:cNvPr id="14" name="Picture 13">
          <a:extLst>
            <a:ext uri="{FF2B5EF4-FFF2-40B4-BE49-F238E27FC236}">
              <a16:creationId xmlns:a16="http://schemas.microsoft.com/office/drawing/2014/main" id="{1584B683-BE2E-426D-8ADD-DC4BBFA781C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8625" y="190500"/>
          <a:ext cx="723900" cy="570298"/>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76201</xdr:colOff>
      <xdr:row>7</xdr:row>
      <xdr:rowOff>85725</xdr:rowOff>
    </xdr:from>
    <xdr:to>
      <xdr:col>2</xdr:col>
      <xdr:colOff>238126</xdr:colOff>
      <xdr:row>9</xdr:row>
      <xdr:rowOff>38099</xdr:rowOff>
    </xdr:to>
    <xdr:sp macro="" textlink="">
      <xdr:nvSpPr>
        <xdr:cNvPr id="29" name="Rectangle: Rounded Corners 28">
          <a:hlinkClick xmlns:r="http://schemas.openxmlformats.org/officeDocument/2006/relationships" r:id="rId7"/>
          <a:extLst>
            <a:ext uri="{FF2B5EF4-FFF2-40B4-BE49-F238E27FC236}">
              <a16:creationId xmlns:a16="http://schemas.microsoft.com/office/drawing/2014/main" id="{CBC913B0-F2F4-442A-BCE9-9F199DC88497}"/>
            </a:ext>
          </a:extLst>
        </xdr:cNvPr>
        <xdr:cNvSpPr/>
      </xdr:nvSpPr>
      <xdr:spPr>
        <a:xfrm>
          <a:off x="76201" y="141922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76200</xdr:colOff>
      <xdr:row>9</xdr:row>
      <xdr:rowOff>171452</xdr:rowOff>
    </xdr:from>
    <xdr:to>
      <xdr:col>2</xdr:col>
      <xdr:colOff>238125</xdr:colOff>
      <xdr:row>11</xdr:row>
      <xdr:rowOff>123826</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1D16ABC3-C935-4432-A131-F950B1EB1F85}"/>
            </a:ext>
          </a:extLst>
        </xdr:cNvPr>
        <xdr:cNvSpPr/>
      </xdr:nvSpPr>
      <xdr:spPr>
        <a:xfrm>
          <a:off x="76200" y="1885952"/>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76200</xdr:colOff>
      <xdr:row>12</xdr:row>
      <xdr:rowOff>28577</xdr:rowOff>
    </xdr:from>
    <xdr:to>
      <xdr:col>2</xdr:col>
      <xdr:colOff>238125</xdr:colOff>
      <xdr:row>13</xdr:row>
      <xdr:rowOff>171451</xdr:rowOff>
    </xdr:to>
    <xdr:sp macro="" textlink="">
      <xdr:nvSpPr>
        <xdr:cNvPr id="31" name="Rectangle: Rounded Corners 30">
          <a:hlinkClick xmlns:r="http://schemas.openxmlformats.org/officeDocument/2006/relationships" r:id="rId9"/>
          <a:extLst>
            <a:ext uri="{FF2B5EF4-FFF2-40B4-BE49-F238E27FC236}">
              <a16:creationId xmlns:a16="http://schemas.microsoft.com/office/drawing/2014/main" id="{EAD74C06-1FE1-4D73-8F9F-9552EFC3F93D}"/>
            </a:ext>
          </a:extLst>
        </xdr:cNvPr>
        <xdr:cNvSpPr/>
      </xdr:nvSpPr>
      <xdr:spPr>
        <a:xfrm>
          <a:off x="76200" y="2314577"/>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57151</xdr:colOff>
      <xdr:row>14</xdr:row>
      <xdr:rowOff>76200</xdr:rowOff>
    </xdr:from>
    <xdr:to>
      <xdr:col>2</xdr:col>
      <xdr:colOff>219076</xdr:colOff>
      <xdr:row>16</xdr:row>
      <xdr:rowOff>28574</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3714ADE9-B135-4FF0-99F6-0D1C93725EF6}"/>
            </a:ext>
          </a:extLst>
        </xdr:cNvPr>
        <xdr:cNvSpPr/>
      </xdr:nvSpPr>
      <xdr:spPr>
        <a:xfrm>
          <a:off x="57151" y="2743200"/>
          <a:ext cx="1381125" cy="333374"/>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66676</xdr:colOff>
      <xdr:row>16</xdr:row>
      <xdr:rowOff>123825</xdr:rowOff>
    </xdr:from>
    <xdr:to>
      <xdr:col>2</xdr:col>
      <xdr:colOff>228601</xdr:colOff>
      <xdr:row>18</xdr:row>
      <xdr:rowOff>76199</xdr:rowOff>
    </xdr:to>
    <xdr:sp macro="" textlink="">
      <xdr:nvSpPr>
        <xdr:cNvPr id="33" name="Rectangle: Rounded Corners 32">
          <a:hlinkClick xmlns:r="http://schemas.openxmlformats.org/officeDocument/2006/relationships" r:id="rId11"/>
          <a:extLst>
            <a:ext uri="{FF2B5EF4-FFF2-40B4-BE49-F238E27FC236}">
              <a16:creationId xmlns:a16="http://schemas.microsoft.com/office/drawing/2014/main" id="{49F33451-48D8-4A8B-9719-0D1405569E22}"/>
            </a:ext>
          </a:extLst>
        </xdr:cNvPr>
        <xdr:cNvSpPr/>
      </xdr:nvSpPr>
      <xdr:spPr>
        <a:xfrm>
          <a:off x="66676" y="317182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85726</xdr:colOff>
      <xdr:row>18</xdr:row>
      <xdr:rowOff>190499</xdr:rowOff>
    </xdr:from>
    <xdr:to>
      <xdr:col>2</xdr:col>
      <xdr:colOff>238126</xdr:colOff>
      <xdr:row>20</xdr:row>
      <xdr:rowOff>142875</xdr:rowOff>
    </xdr:to>
    <xdr:sp macro="" textlink="">
      <xdr:nvSpPr>
        <xdr:cNvPr id="34" name="Rectangle: Rounded Corners 33">
          <a:hlinkClick xmlns:r="http://schemas.openxmlformats.org/officeDocument/2006/relationships" r:id="rId12"/>
          <a:extLst>
            <a:ext uri="{FF2B5EF4-FFF2-40B4-BE49-F238E27FC236}">
              <a16:creationId xmlns:a16="http://schemas.microsoft.com/office/drawing/2014/main" id="{FD389EAD-6C0C-40C9-9007-6931F3B8D5BE}"/>
            </a:ext>
          </a:extLst>
        </xdr:cNvPr>
        <xdr:cNvSpPr/>
      </xdr:nvSpPr>
      <xdr:spPr>
        <a:xfrm>
          <a:off x="85726" y="3619499"/>
          <a:ext cx="1371600" cy="333376"/>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85726</xdr:colOff>
      <xdr:row>21</xdr:row>
      <xdr:rowOff>57150</xdr:rowOff>
    </xdr:from>
    <xdr:to>
      <xdr:col>2</xdr:col>
      <xdr:colOff>247651</xdr:colOff>
      <xdr:row>23</xdr:row>
      <xdr:rowOff>9524</xdr:rowOff>
    </xdr:to>
    <xdr:sp macro="" textlink="">
      <xdr:nvSpPr>
        <xdr:cNvPr id="35" name="Rectangle: Rounded Corners 34">
          <a:hlinkClick xmlns:r="http://schemas.openxmlformats.org/officeDocument/2006/relationships" r:id="rId13"/>
          <a:extLst>
            <a:ext uri="{FF2B5EF4-FFF2-40B4-BE49-F238E27FC236}">
              <a16:creationId xmlns:a16="http://schemas.microsoft.com/office/drawing/2014/main" id="{210B50B7-218F-4E30-821C-990ED923D7F0}"/>
            </a:ext>
          </a:extLst>
        </xdr:cNvPr>
        <xdr:cNvSpPr/>
      </xdr:nvSpPr>
      <xdr:spPr>
        <a:xfrm>
          <a:off x="85726" y="405765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xdr:colOff>
      <xdr:row>0</xdr:row>
      <xdr:rowOff>9525</xdr:rowOff>
    </xdr:from>
    <xdr:to>
      <xdr:col>20</xdr:col>
      <xdr:colOff>380999</xdr:colOff>
      <xdr:row>30</xdr:row>
      <xdr:rowOff>57150</xdr:rowOff>
    </xdr:to>
    <xdr:sp macro="" textlink="">
      <xdr:nvSpPr>
        <xdr:cNvPr id="2" name="Rectangle: Rounded Corners 1">
          <a:extLst>
            <a:ext uri="{FF2B5EF4-FFF2-40B4-BE49-F238E27FC236}">
              <a16:creationId xmlns:a16="http://schemas.microsoft.com/office/drawing/2014/main" id="{9D07D990-694B-431E-954C-2562E82F8E2B}"/>
            </a:ext>
          </a:extLst>
        </xdr:cNvPr>
        <xdr:cNvSpPr/>
      </xdr:nvSpPr>
      <xdr:spPr>
        <a:xfrm>
          <a:off x="66675" y="9525"/>
          <a:ext cx="12506324" cy="5762625"/>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2</xdr:col>
      <xdr:colOff>323850</xdr:colOff>
      <xdr:row>0</xdr:row>
      <xdr:rowOff>0</xdr:rowOff>
    </xdr:from>
    <xdr:to>
      <xdr:col>20</xdr:col>
      <xdr:colOff>361948</xdr:colOff>
      <xdr:row>30</xdr:row>
      <xdr:rowOff>19050</xdr:rowOff>
    </xdr:to>
    <xdr:sp macro="" textlink="">
      <xdr:nvSpPr>
        <xdr:cNvPr id="3" name="Rectangle: Rounded Corners 2">
          <a:extLst>
            <a:ext uri="{FF2B5EF4-FFF2-40B4-BE49-F238E27FC236}">
              <a16:creationId xmlns:a16="http://schemas.microsoft.com/office/drawing/2014/main" id="{326A5E57-7A22-44B1-A4A5-E427A272BB8C}"/>
            </a:ext>
          </a:extLst>
        </xdr:cNvPr>
        <xdr:cNvSpPr/>
      </xdr:nvSpPr>
      <xdr:spPr>
        <a:xfrm>
          <a:off x="1543050" y="0"/>
          <a:ext cx="11010898" cy="5734050"/>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95248</xdr:colOff>
      <xdr:row>0</xdr:row>
      <xdr:rowOff>104776</xdr:rowOff>
    </xdr:from>
    <xdr:to>
      <xdr:col>11</xdr:col>
      <xdr:colOff>76200</xdr:colOff>
      <xdr:row>2</xdr:row>
      <xdr:rowOff>85725</xdr:rowOff>
    </xdr:to>
    <mc:AlternateContent xmlns:mc="http://schemas.openxmlformats.org/markup-compatibility/2006" xmlns:a14="http://schemas.microsoft.com/office/drawing/2010/main">
      <mc:Choice Requires="a14">
        <xdr:graphicFrame macro="">
          <xdr:nvGraphicFramePr>
            <xdr:cNvPr id="4" name="Category 4">
              <a:extLst>
                <a:ext uri="{FF2B5EF4-FFF2-40B4-BE49-F238E27FC236}">
                  <a16:creationId xmlns:a16="http://schemas.microsoft.com/office/drawing/2014/main" id="{14CE0036-9D52-47C2-809A-BF307C7812AB}"/>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924048" y="104776"/>
              <a:ext cx="4857752" cy="371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247649</xdr:colOff>
      <xdr:row>0</xdr:row>
      <xdr:rowOff>95249</xdr:rowOff>
    </xdr:from>
    <xdr:to>
      <xdr:col>20</xdr:col>
      <xdr:colOff>95248</xdr:colOff>
      <xdr:row>2</xdr:row>
      <xdr:rowOff>85725</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8310FE01-95AE-446A-B321-ED6064B8D45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734175" y="95249"/>
              <a:ext cx="5553074" cy="371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2</xdr:row>
      <xdr:rowOff>123825</xdr:rowOff>
    </xdr:from>
    <xdr:to>
      <xdr:col>20</xdr:col>
      <xdr:colOff>114300</xdr:colOff>
      <xdr:row>4</xdr:row>
      <xdr:rowOff>114300</xdr:rowOff>
    </xdr:to>
    <mc:AlternateContent xmlns:mc="http://schemas.openxmlformats.org/markup-compatibility/2006" xmlns:a14="http://schemas.microsoft.com/office/drawing/2010/main">
      <mc:Choice Requires="a14">
        <xdr:graphicFrame macro="">
          <xdr:nvGraphicFramePr>
            <xdr:cNvPr id="6" name="Month 4">
              <a:extLst>
                <a:ext uri="{FF2B5EF4-FFF2-40B4-BE49-F238E27FC236}">
                  <a16:creationId xmlns:a16="http://schemas.microsoft.com/office/drawing/2014/main" id="{79F684A4-094E-4AC8-98F1-E0ED8740980B}"/>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590674" y="504825"/>
              <a:ext cx="10715626" cy="371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5</xdr:row>
      <xdr:rowOff>57149</xdr:rowOff>
    </xdr:from>
    <xdr:to>
      <xdr:col>20</xdr:col>
      <xdr:colOff>114300</xdr:colOff>
      <xdr:row>12</xdr:row>
      <xdr:rowOff>19050</xdr:rowOff>
    </xdr:to>
    <xdr:graphicFrame macro="">
      <xdr:nvGraphicFramePr>
        <xdr:cNvPr id="12" name="Chart 11">
          <a:extLst>
            <a:ext uri="{FF2B5EF4-FFF2-40B4-BE49-F238E27FC236}">
              <a16:creationId xmlns:a16="http://schemas.microsoft.com/office/drawing/2014/main" id="{B09F6905-4912-469F-A326-D36B33628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428625</xdr:colOff>
      <xdr:row>12</xdr:row>
      <xdr:rowOff>171451</xdr:rowOff>
    </xdr:from>
    <xdr:to>
      <xdr:col>20</xdr:col>
      <xdr:colOff>123825</xdr:colOff>
      <xdr:row>20</xdr:row>
      <xdr:rowOff>123825</xdr:rowOff>
    </xdr:to>
    <xdr:graphicFrame macro="">
      <xdr:nvGraphicFramePr>
        <xdr:cNvPr id="13" name="Chart 12">
          <a:extLst>
            <a:ext uri="{FF2B5EF4-FFF2-40B4-BE49-F238E27FC236}">
              <a16:creationId xmlns:a16="http://schemas.microsoft.com/office/drawing/2014/main" id="{33E480BE-B90A-4CD2-ACE9-B18E8D9C3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428625</xdr:colOff>
      <xdr:row>21</xdr:row>
      <xdr:rowOff>76200</xdr:rowOff>
    </xdr:from>
    <xdr:to>
      <xdr:col>20</xdr:col>
      <xdr:colOff>123825</xdr:colOff>
      <xdr:row>29</xdr:row>
      <xdr:rowOff>76200</xdr:rowOff>
    </xdr:to>
    <xdr:graphicFrame macro="">
      <xdr:nvGraphicFramePr>
        <xdr:cNvPr id="14" name="Chart 13">
          <a:extLst>
            <a:ext uri="{FF2B5EF4-FFF2-40B4-BE49-F238E27FC236}">
              <a16:creationId xmlns:a16="http://schemas.microsoft.com/office/drawing/2014/main" id="{75CBAA39-5257-4225-B5A9-56544214C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8</xdr:row>
      <xdr:rowOff>109932</xdr:rowOff>
    </xdr:from>
    <xdr:to>
      <xdr:col>7</xdr:col>
      <xdr:colOff>242143</xdr:colOff>
      <xdr:row>11</xdr:row>
      <xdr:rowOff>142875</xdr:rowOff>
    </xdr:to>
    <xdr:sp macro="" textlink="">
      <xdr:nvSpPr>
        <xdr:cNvPr id="15" name="Rectangle: Rounded Corners 14">
          <a:extLst>
            <a:ext uri="{FF2B5EF4-FFF2-40B4-BE49-F238E27FC236}">
              <a16:creationId xmlns:a16="http://schemas.microsoft.com/office/drawing/2014/main" id="{AF7E0A04-8B66-40ED-BD5C-9F9C288C14FF}"/>
            </a:ext>
          </a:extLst>
        </xdr:cNvPr>
        <xdr:cNvSpPr/>
      </xdr:nvSpPr>
      <xdr:spPr>
        <a:xfrm>
          <a:off x="1876425" y="1633932"/>
          <a:ext cx="2632918" cy="60444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304800</xdr:colOff>
      <xdr:row>8</xdr:row>
      <xdr:rowOff>142875</xdr:rowOff>
    </xdr:from>
    <xdr:to>
      <xdr:col>7</xdr:col>
      <xdr:colOff>178673</xdr:colOff>
      <xdr:row>11</xdr:row>
      <xdr:rowOff>104775</xdr:rowOff>
    </xdr:to>
    <xdr:sp macro="" textlink="">
      <xdr:nvSpPr>
        <xdr:cNvPr id="16" name="Rectangle: Rounded Corners 15">
          <a:extLst>
            <a:ext uri="{FF2B5EF4-FFF2-40B4-BE49-F238E27FC236}">
              <a16:creationId xmlns:a16="http://schemas.microsoft.com/office/drawing/2014/main" id="{530CF2D1-A584-40E6-8B16-E6EFF20F314C}"/>
            </a:ext>
          </a:extLst>
        </xdr:cNvPr>
        <xdr:cNvSpPr/>
      </xdr:nvSpPr>
      <xdr:spPr>
        <a:xfrm>
          <a:off x="2133600" y="1666875"/>
          <a:ext cx="2312273" cy="53340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361351</xdr:colOff>
      <xdr:row>8</xdr:row>
      <xdr:rowOff>57150</xdr:rowOff>
    </xdr:from>
    <xdr:to>
      <xdr:col>7</xdr:col>
      <xdr:colOff>198564</xdr:colOff>
      <xdr:row>10</xdr:row>
      <xdr:rowOff>57829</xdr:rowOff>
    </xdr:to>
    <xdr:sp macro="" textlink="">
      <xdr:nvSpPr>
        <xdr:cNvPr id="17" name="Rectangle: Rounded Corners 16">
          <a:extLst>
            <a:ext uri="{FF2B5EF4-FFF2-40B4-BE49-F238E27FC236}">
              <a16:creationId xmlns:a16="http://schemas.microsoft.com/office/drawing/2014/main" id="{76BB3B2B-C435-4E6C-8D4C-91828F874B02}"/>
            </a:ext>
          </a:extLst>
        </xdr:cNvPr>
        <xdr:cNvSpPr/>
      </xdr:nvSpPr>
      <xdr:spPr>
        <a:xfrm>
          <a:off x="2190151" y="1581150"/>
          <a:ext cx="2275613"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6B4E3D"/>
              </a:solidFill>
            </a:rPr>
            <a:t>TOTAL</a:t>
          </a:r>
          <a:r>
            <a:rPr lang="en-US" sz="1200" b="1" baseline="0">
              <a:solidFill>
                <a:srgbClr val="6B4E3D"/>
              </a:solidFill>
            </a:rPr>
            <a:t> ANNUAL PROFIT</a:t>
          </a:r>
          <a:endParaRPr lang="en-US" sz="1600" b="1">
            <a:solidFill>
              <a:srgbClr val="6B4E3D"/>
            </a:solidFill>
          </a:endParaRPr>
        </a:p>
      </xdr:txBody>
    </xdr:sp>
    <xdr:clientData/>
  </xdr:twoCellAnchor>
  <xdr:twoCellAnchor>
    <xdr:from>
      <xdr:col>3</xdr:col>
      <xdr:colOff>353944</xdr:colOff>
      <xdr:row>9</xdr:row>
      <xdr:rowOff>14812</xdr:rowOff>
    </xdr:from>
    <xdr:to>
      <xdr:col>4</xdr:col>
      <xdr:colOff>85378</xdr:colOff>
      <xdr:row>12</xdr:row>
      <xdr:rowOff>165320</xdr:rowOff>
    </xdr:to>
    <xdr:sp macro="" textlink="">
      <xdr:nvSpPr>
        <xdr:cNvPr id="18" name="Text Box 1">
          <a:extLst>
            <a:ext uri="{FF2B5EF4-FFF2-40B4-BE49-F238E27FC236}">
              <a16:creationId xmlns:a16="http://schemas.microsoft.com/office/drawing/2014/main" id="{A9EDDA5A-62A8-459A-A76B-FF08B6576254}"/>
            </a:ext>
          </a:extLst>
        </xdr:cNvPr>
        <xdr:cNvSpPr txBox="1">
          <a:spLocks noChangeArrowheads="1"/>
        </xdr:cNvSpPr>
      </xdr:nvSpPr>
      <xdr:spPr bwMode="auto">
        <a:xfrm>
          <a:off x="2182744" y="1729312"/>
          <a:ext cx="34103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200" b="0" i="0" u="none" strike="noStrike" baseline="0">
              <a:solidFill>
                <a:srgbClr val="6B4E3D"/>
              </a:solidFill>
              <a:latin typeface="Calibri"/>
              <a:cs typeface="Calibri"/>
            </a:rPr>
            <a:t>₹</a:t>
          </a:r>
          <a:endParaRPr lang="en-US" sz="1000" b="0" i="0" u="none" strike="noStrike" baseline="0">
            <a:solidFill>
              <a:srgbClr val="6B4E3D"/>
            </a:solidFill>
            <a:latin typeface="Calibri"/>
            <a:cs typeface="Calibri"/>
          </a:endParaRPr>
        </a:p>
      </xdr:txBody>
    </xdr:sp>
    <xdr:clientData/>
  </xdr:twoCellAnchor>
  <xdr:twoCellAnchor>
    <xdr:from>
      <xdr:col>4</xdr:col>
      <xdr:colOff>182494</xdr:colOff>
      <xdr:row>9</xdr:row>
      <xdr:rowOff>116603</xdr:rowOff>
    </xdr:from>
    <xdr:to>
      <xdr:col>6</xdr:col>
      <xdr:colOff>276226</xdr:colOff>
      <xdr:row>11</xdr:row>
      <xdr:rowOff>102439</xdr:rowOff>
    </xdr:to>
    <xdr:sp macro="" textlink="">
      <xdr:nvSpPr>
        <xdr:cNvPr id="19" name="Rectangle: Rounded Corners 18">
          <a:extLst>
            <a:ext uri="{FF2B5EF4-FFF2-40B4-BE49-F238E27FC236}">
              <a16:creationId xmlns:a16="http://schemas.microsoft.com/office/drawing/2014/main" id="{3D295CA6-EDE3-426B-BF99-A3EA55732CF2}"/>
            </a:ext>
          </a:extLst>
        </xdr:cNvPr>
        <xdr:cNvSpPr/>
      </xdr:nvSpPr>
      <xdr:spPr>
        <a:xfrm>
          <a:off x="2620894" y="1831103"/>
          <a:ext cx="1312932"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6B4E3D"/>
              </a:solidFill>
            </a:rPr>
            <a:t>183240</a:t>
          </a:r>
          <a:endParaRPr lang="en-US" sz="1050" b="1">
            <a:solidFill>
              <a:srgbClr val="6B4E3D"/>
            </a:solidFill>
          </a:endParaRPr>
        </a:p>
      </xdr:txBody>
    </xdr:sp>
    <xdr:clientData/>
  </xdr:twoCellAnchor>
  <xdr:twoCellAnchor>
    <xdr:from>
      <xdr:col>3</xdr:col>
      <xdr:colOff>476250</xdr:colOff>
      <xdr:row>5</xdr:row>
      <xdr:rowOff>85725</xdr:rowOff>
    </xdr:from>
    <xdr:to>
      <xdr:col>6</xdr:col>
      <xdr:colOff>361950</xdr:colOff>
      <xdr:row>7</xdr:row>
      <xdr:rowOff>76200</xdr:rowOff>
    </xdr:to>
    <xdr:sp macro="" textlink="">
      <xdr:nvSpPr>
        <xdr:cNvPr id="21" name="Rectangle: Rounded Corners 20">
          <a:extLst>
            <a:ext uri="{FF2B5EF4-FFF2-40B4-BE49-F238E27FC236}">
              <a16:creationId xmlns:a16="http://schemas.microsoft.com/office/drawing/2014/main" id="{AC34043E-9889-49CB-A59B-9549BE648771}"/>
            </a:ext>
          </a:extLst>
        </xdr:cNvPr>
        <xdr:cNvSpPr/>
      </xdr:nvSpPr>
      <xdr:spPr>
        <a:xfrm>
          <a:off x="2305050" y="1038225"/>
          <a:ext cx="1714500" cy="371475"/>
        </a:xfrm>
        <a:prstGeom prst="roundRect">
          <a:avLst>
            <a:gd name="adj" fmla="val 30181"/>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500" b="1">
              <a:solidFill>
                <a:srgbClr val="6B4E3D"/>
              </a:solidFill>
              <a:latin typeface="Times New Roman" panose="02020603050405020304" pitchFamily="18" charset="0"/>
              <a:cs typeface="Times New Roman" panose="02020603050405020304" pitchFamily="18" charset="0"/>
            </a:rPr>
            <a:t>PROFITIBILITY</a:t>
          </a:r>
        </a:p>
      </xdr:txBody>
    </xdr:sp>
    <xdr:clientData/>
  </xdr:twoCellAnchor>
  <xdr:twoCellAnchor>
    <xdr:from>
      <xdr:col>7</xdr:col>
      <xdr:colOff>352425</xdr:colOff>
      <xdr:row>8</xdr:row>
      <xdr:rowOff>119457</xdr:rowOff>
    </xdr:from>
    <xdr:to>
      <xdr:col>11</xdr:col>
      <xdr:colOff>546943</xdr:colOff>
      <xdr:row>11</xdr:row>
      <xdr:rowOff>152400</xdr:rowOff>
    </xdr:to>
    <xdr:sp macro="" textlink="">
      <xdr:nvSpPr>
        <xdr:cNvPr id="22" name="Rectangle: Rounded Corners 21">
          <a:extLst>
            <a:ext uri="{FF2B5EF4-FFF2-40B4-BE49-F238E27FC236}">
              <a16:creationId xmlns:a16="http://schemas.microsoft.com/office/drawing/2014/main" id="{4745FAED-2D55-4213-AC9E-B382D74BCE6A}"/>
            </a:ext>
          </a:extLst>
        </xdr:cNvPr>
        <xdr:cNvSpPr/>
      </xdr:nvSpPr>
      <xdr:spPr>
        <a:xfrm>
          <a:off x="4619625" y="1643457"/>
          <a:ext cx="2632918" cy="60444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8</xdr:row>
      <xdr:rowOff>152400</xdr:rowOff>
    </xdr:from>
    <xdr:to>
      <xdr:col>11</xdr:col>
      <xdr:colOff>483473</xdr:colOff>
      <xdr:row>11</xdr:row>
      <xdr:rowOff>114300</xdr:rowOff>
    </xdr:to>
    <xdr:sp macro="" textlink="">
      <xdr:nvSpPr>
        <xdr:cNvPr id="23" name="Rectangle: Rounded Corners 22">
          <a:extLst>
            <a:ext uri="{FF2B5EF4-FFF2-40B4-BE49-F238E27FC236}">
              <a16:creationId xmlns:a16="http://schemas.microsoft.com/office/drawing/2014/main" id="{DAD56B0D-746D-4867-A81D-49BC9D7F52E3}"/>
            </a:ext>
          </a:extLst>
        </xdr:cNvPr>
        <xdr:cNvSpPr/>
      </xdr:nvSpPr>
      <xdr:spPr>
        <a:xfrm>
          <a:off x="4876800" y="1676400"/>
          <a:ext cx="2312273" cy="53340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56551</xdr:colOff>
      <xdr:row>8</xdr:row>
      <xdr:rowOff>66675</xdr:rowOff>
    </xdr:from>
    <xdr:to>
      <xdr:col>11</xdr:col>
      <xdr:colOff>503364</xdr:colOff>
      <xdr:row>10</xdr:row>
      <xdr:rowOff>67354</xdr:rowOff>
    </xdr:to>
    <xdr:sp macro="" textlink="">
      <xdr:nvSpPr>
        <xdr:cNvPr id="24" name="Rectangle: Rounded Corners 23">
          <a:extLst>
            <a:ext uri="{FF2B5EF4-FFF2-40B4-BE49-F238E27FC236}">
              <a16:creationId xmlns:a16="http://schemas.microsoft.com/office/drawing/2014/main" id="{F7DABAD9-2900-405E-9DD1-2AFF9ED2A2FC}"/>
            </a:ext>
          </a:extLst>
        </xdr:cNvPr>
        <xdr:cNvSpPr/>
      </xdr:nvSpPr>
      <xdr:spPr>
        <a:xfrm>
          <a:off x="4933351" y="1590675"/>
          <a:ext cx="2275613"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6B4E3D"/>
              </a:solidFill>
            </a:rPr>
            <a:t>AVERAGE PROFIT</a:t>
          </a:r>
          <a:r>
            <a:rPr lang="en-US" sz="1200" b="1" baseline="0">
              <a:solidFill>
                <a:srgbClr val="6B4E3D"/>
              </a:solidFill>
            </a:rPr>
            <a:t> / SALE</a:t>
          </a:r>
          <a:endParaRPr lang="en-US" sz="1600" b="1">
            <a:solidFill>
              <a:srgbClr val="6B4E3D"/>
            </a:solidFill>
          </a:endParaRPr>
        </a:p>
      </xdr:txBody>
    </xdr:sp>
    <xdr:clientData/>
  </xdr:twoCellAnchor>
  <xdr:twoCellAnchor>
    <xdr:from>
      <xdr:col>8</xdr:col>
      <xdr:colOff>49144</xdr:colOff>
      <xdr:row>9</xdr:row>
      <xdr:rowOff>24337</xdr:rowOff>
    </xdr:from>
    <xdr:to>
      <xdr:col>8</xdr:col>
      <xdr:colOff>390178</xdr:colOff>
      <xdr:row>12</xdr:row>
      <xdr:rowOff>174845</xdr:rowOff>
    </xdr:to>
    <xdr:sp macro="" textlink="">
      <xdr:nvSpPr>
        <xdr:cNvPr id="25" name="Text Box 1">
          <a:extLst>
            <a:ext uri="{FF2B5EF4-FFF2-40B4-BE49-F238E27FC236}">
              <a16:creationId xmlns:a16="http://schemas.microsoft.com/office/drawing/2014/main" id="{FCC8C9E1-5736-46DF-905C-EA33FB3341EA}"/>
            </a:ext>
          </a:extLst>
        </xdr:cNvPr>
        <xdr:cNvSpPr txBox="1">
          <a:spLocks noChangeArrowheads="1"/>
        </xdr:cNvSpPr>
      </xdr:nvSpPr>
      <xdr:spPr bwMode="auto">
        <a:xfrm>
          <a:off x="4925944" y="1738837"/>
          <a:ext cx="34103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200" b="0" i="0" u="none" strike="noStrike" baseline="0">
              <a:solidFill>
                <a:srgbClr val="6B4E3D"/>
              </a:solidFill>
              <a:latin typeface="Calibri"/>
              <a:cs typeface="Calibri"/>
            </a:rPr>
            <a:t>₹</a:t>
          </a:r>
          <a:endParaRPr lang="en-US" sz="1000" b="0" i="0" u="none" strike="noStrike" baseline="0">
            <a:solidFill>
              <a:srgbClr val="6B4E3D"/>
            </a:solidFill>
            <a:latin typeface="Calibri"/>
            <a:cs typeface="Calibri"/>
          </a:endParaRPr>
        </a:p>
      </xdr:txBody>
    </xdr:sp>
    <xdr:clientData/>
  </xdr:twoCellAnchor>
  <xdr:twoCellAnchor>
    <xdr:from>
      <xdr:col>8</xdr:col>
      <xdr:colOff>487294</xdr:colOff>
      <xdr:row>9</xdr:row>
      <xdr:rowOff>126128</xdr:rowOff>
    </xdr:from>
    <xdr:to>
      <xdr:col>10</xdr:col>
      <xdr:colOff>581026</xdr:colOff>
      <xdr:row>11</xdr:row>
      <xdr:rowOff>111964</xdr:rowOff>
    </xdr:to>
    <xdr:sp macro="" textlink="">
      <xdr:nvSpPr>
        <xdr:cNvPr id="26" name="Rectangle: Rounded Corners 25">
          <a:extLst>
            <a:ext uri="{FF2B5EF4-FFF2-40B4-BE49-F238E27FC236}">
              <a16:creationId xmlns:a16="http://schemas.microsoft.com/office/drawing/2014/main" id="{3427EB94-7E6A-4E1E-824A-970FAEA17DB6}"/>
            </a:ext>
          </a:extLst>
        </xdr:cNvPr>
        <xdr:cNvSpPr/>
      </xdr:nvSpPr>
      <xdr:spPr>
        <a:xfrm>
          <a:off x="5364094" y="1840628"/>
          <a:ext cx="1312932"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6B4E3D"/>
              </a:solidFill>
            </a:rPr>
            <a:t>315</a:t>
          </a:r>
          <a:endParaRPr lang="en-US" sz="1050" b="1">
            <a:solidFill>
              <a:srgbClr val="6B4E3D"/>
            </a:solidFill>
          </a:endParaRPr>
        </a:p>
      </xdr:txBody>
    </xdr:sp>
    <xdr:clientData/>
  </xdr:twoCellAnchor>
  <xdr:twoCellAnchor>
    <xdr:from>
      <xdr:col>3</xdr:col>
      <xdr:colOff>123825</xdr:colOff>
      <xdr:row>13</xdr:row>
      <xdr:rowOff>123824</xdr:rowOff>
    </xdr:from>
    <xdr:to>
      <xdr:col>11</xdr:col>
      <xdr:colOff>104775</xdr:colOff>
      <xdr:row>28</xdr:row>
      <xdr:rowOff>133349</xdr:rowOff>
    </xdr:to>
    <xdr:graphicFrame macro="">
      <xdr:nvGraphicFramePr>
        <xdr:cNvPr id="27" name="Chart 26">
          <a:extLst>
            <a:ext uri="{FF2B5EF4-FFF2-40B4-BE49-F238E27FC236}">
              <a16:creationId xmlns:a16="http://schemas.microsoft.com/office/drawing/2014/main" id="{F13D7CBA-AE57-4FF6-B188-5B3FF236A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523875</xdr:colOff>
      <xdr:row>5</xdr:row>
      <xdr:rowOff>38100</xdr:rowOff>
    </xdr:from>
    <xdr:to>
      <xdr:col>3</xdr:col>
      <xdr:colOff>323850</xdr:colOff>
      <xdr:row>7</xdr:row>
      <xdr:rowOff>66675</xdr:rowOff>
    </xdr:to>
    <xdr:pic>
      <xdr:nvPicPr>
        <xdr:cNvPr id="28" name="Graphic 27" descr="Money with solid fill">
          <a:extLst>
            <a:ext uri="{FF2B5EF4-FFF2-40B4-BE49-F238E27FC236}">
              <a16:creationId xmlns:a16="http://schemas.microsoft.com/office/drawing/2014/main" id="{EAF3078D-2FF9-4546-AB4B-42120C550B6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43075" y="990600"/>
          <a:ext cx="409575" cy="409575"/>
        </a:xfrm>
        <a:prstGeom prst="rect">
          <a:avLst/>
        </a:prstGeom>
      </xdr:spPr>
    </xdr:pic>
    <xdr:clientData/>
  </xdr:twoCellAnchor>
  <xdr:twoCellAnchor editAs="oneCell">
    <xdr:from>
      <xdr:col>0</xdr:col>
      <xdr:colOff>381000</xdr:colOff>
      <xdr:row>0</xdr:row>
      <xdr:rowOff>161925</xdr:rowOff>
    </xdr:from>
    <xdr:to>
      <xdr:col>1</xdr:col>
      <xdr:colOff>504825</xdr:colOff>
      <xdr:row>3</xdr:row>
      <xdr:rowOff>189298</xdr:rowOff>
    </xdr:to>
    <xdr:pic>
      <xdr:nvPicPr>
        <xdr:cNvPr id="30" name="Picture 29">
          <a:extLst>
            <a:ext uri="{FF2B5EF4-FFF2-40B4-BE49-F238E27FC236}">
              <a16:creationId xmlns:a16="http://schemas.microsoft.com/office/drawing/2014/main" id="{8A155DC8-8E50-4664-875A-7BC7120905E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1000" y="161925"/>
          <a:ext cx="733425" cy="598873"/>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85725</xdr:colOff>
      <xdr:row>7</xdr:row>
      <xdr:rowOff>66675</xdr:rowOff>
    </xdr:from>
    <xdr:to>
      <xdr:col>2</xdr:col>
      <xdr:colOff>247650</xdr:colOff>
      <xdr:row>9</xdr:row>
      <xdr:rowOff>19049</xdr:rowOff>
    </xdr:to>
    <xdr:sp macro="" textlink="">
      <xdr:nvSpPr>
        <xdr:cNvPr id="38" name="Rectangle: Rounded Corners 37">
          <a:hlinkClick xmlns:r="http://schemas.openxmlformats.org/officeDocument/2006/relationships" r:id="rId8"/>
          <a:extLst>
            <a:ext uri="{FF2B5EF4-FFF2-40B4-BE49-F238E27FC236}">
              <a16:creationId xmlns:a16="http://schemas.microsoft.com/office/drawing/2014/main" id="{FB203592-5ED2-49C5-9200-5FBDDE605BF9}"/>
            </a:ext>
          </a:extLst>
        </xdr:cNvPr>
        <xdr:cNvSpPr/>
      </xdr:nvSpPr>
      <xdr:spPr>
        <a:xfrm>
          <a:off x="85725" y="14001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85724</xdr:colOff>
      <xdr:row>9</xdr:row>
      <xdr:rowOff>152402</xdr:rowOff>
    </xdr:from>
    <xdr:to>
      <xdr:col>2</xdr:col>
      <xdr:colOff>247649</xdr:colOff>
      <xdr:row>11</xdr:row>
      <xdr:rowOff>104776</xdr:rowOff>
    </xdr:to>
    <xdr:sp macro="" textlink="">
      <xdr:nvSpPr>
        <xdr:cNvPr id="39" name="Rectangle: Rounded Corners 38">
          <a:hlinkClick xmlns:r="http://schemas.openxmlformats.org/officeDocument/2006/relationships" r:id="rId9"/>
          <a:extLst>
            <a:ext uri="{FF2B5EF4-FFF2-40B4-BE49-F238E27FC236}">
              <a16:creationId xmlns:a16="http://schemas.microsoft.com/office/drawing/2014/main" id="{61EC75BC-2EC1-46B3-A7B6-877A1F4C9366}"/>
            </a:ext>
          </a:extLst>
        </xdr:cNvPr>
        <xdr:cNvSpPr/>
      </xdr:nvSpPr>
      <xdr:spPr>
        <a:xfrm>
          <a:off x="85724" y="1866902"/>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85724</xdr:colOff>
      <xdr:row>12</xdr:row>
      <xdr:rowOff>9527</xdr:rowOff>
    </xdr:from>
    <xdr:to>
      <xdr:col>2</xdr:col>
      <xdr:colOff>247649</xdr:colOff>
      <xdr:row>13</xdr:row>
      <xdr:rowOff>152401</xdr:rowOff>
    </xdr:to>
    <xdr:sp macro="" textlink="">
      <xdr:nvSpPr>
        <xdr:cNvPr id="40" name="Rectangle: Rounded Corners 39">
          <a:hlinkClick xmlns:r="http://schemas.openxmlformats.org/officeDocument/2006/relationships" r:id="rId10"/>
          <a:extLst>
            <a:ext uri="{FF2B5EF4-FFF2-40B4-BE49-F238E27FC236}">
              <a16:creationId xmlns:a16="http://schemas.microsoft.com/office/drawing/2014/main" id="{D11AC788-EECC-44CF-A641-7D1AAAA6511C}"/>
            </a:ext>
          </a:extLst>
        </xdr:cNvPr>
        <xdr:cNvSpPr/>
      </xdr:nvSpPr>
      <xdr:spPr>
        <a:xfrm>
          <a:off x="85724" y="2295527"/>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66675</xdr:colOff>
      <xdr:row>14</xdr:row>
      <xdr:rowOff>57150</xdr:rowOff>
    </xdr:from>
    <xdr:to>
      <xdr:col>2</xdr:col>
      <xdr:colOff>228600</xdr:colOff>
      <xdr:row>16</xdr:row>
      <xdr:rowOff>9524</xdr:rowOff>
    </xdr:to>
    <xdr:sp macro="" textlink="">
      <xdr:nvSpPr>
        <xdr:cNvPr id="41" name="Rectangle: Rounded Corners 40">
          <a:hlinkClick xmlns:r="http://schemas.openxmlformats.org/officeDocument/2006/relationships" r:id="rId11"/>
          <a:extLst>
            <a:ext uri="{FF2B5EF4-FFF2-40B4-BE49-F238E27FC236}">
              <a16:creationId xmlns:a16="http://schemas.microsoft.com/office/drawing/2014/main" id="{8C64894D-B9A4-4E08-8B8D-C7A3C6BE0639}"/>
            </a:ext>
          </a:extLst>
        </xdr:cNvPr>
        <xdr:cNvSpPr/>
      </xdr:nvSpPr>
      <xdr:spPr>
        <a:xfrm>
          <a:off x="66675" y="272415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76200</xdr:colOff>
      <xdr:row>16</xdr:row>
      <xdr:rowOff>104775</xdr:rowOff>
    </xdr:from>
    <xdr:to>
      <xdr:col>2</xdr:col>
      <xdr:colOff>238125</xdr:colOff>
      <xdr:row>18</xdr:row>
      <xdr:rowOff>57149</xdr:rowOff>
    </xdr:to>
    <xdr:sp macro="" textlink="">
      <xdr:nvSpPr>
        <xdr:cNvPr id="42" name="Rectangle: Rounded Corners 41">
          <a:hlinkClick xmlns:r="http://schemas.openxmlformats.org/officeDocument/2006/relationships" r:id="rId12"/>
          <a:extLst>
            <a:ext uri="{FF2B5EF4-FFF2-40B4-BE49-F238E27FC236}">
              <a16:creationId xmlns:a16="http://schemas.microsoft.com/office/drawing/2014/main" id="{6BA141DF-F6B9-4BE1-962E-7A43F120E6DB}"/>
            </a:ext>
          </a:extLst>
        </xdr:cNvPr>
        <xdr:cNvSpPr/>
      </xdr:nvSpPr>
      <xdr:spPr>
        <a:xfrm>
          <a:off x="76200" y="3152775"/>
          <a:ext cx="1381125" cy="333374"/>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95250</xdr:colOff>
      <xdr:row>18</xdr:row>
      <xdr:rowOff>171449</xdr:rowOff>
    </xdr:from>
    <xdr:to>
      <xdr:col>2</xdr:col>
      <xdr:colOff>247650</xdr:colOff>
      <xdr:row>20</xdr:row>
      <xdr:rowOff>123825</xdr:rowOff>
    </xdr:to>
    <xdr:sp macro="" textlink="">
      <xdr:nvSpPr>
        <xdr:cNvPr id="43" name="Rectangle: Rounded Corners 42">
          <a:hlinkClick xmlns:r="http://schemas.openxmlformats.org/officeDocument/2006/relationships" r:id="rId13"/>
          <a:extLst>
            <a:ext uri="{FF2B5EF4-FFF2-40B4-BE49-F238E27FC236}">
              <a16:creationId xmlns:a16="http://schemas.microsoft.com/office/drawing/2014/main" id="{3B63934F-8D53-49C7-8900-82FB9B5256A9}"/>
            </a:ext>
          </a:extLst>
        </xdr:cNvPr>
        <xdr:cNvSpPr/>
      </xdr:nvSpPr>
      <xdr:spPr>
        <a:xfrm>
          <a:off x="95250" y="3600449"/>
          <a:ext cx="1371600" cy="333376"/>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95250</xdr:colOff>
      <xdr:row>21</xdr:row>
      <xdr:rowOff>38100</xdr:rowOff>
    </xdr:from>
    <xdr:to>
      <xdr:col>2</xdr:col>
      <xdr:colOff>257175</xdr:colOff>
      <xdr:row>22</xdr:row>
      <xdr:rowOff>180974</xdr:rowOff>
    </xdr:to>
    <xdr:sp macro="" textlink="">
      <xdr:nvSpPr>
        <xdr:cNvPr id="44" name="Rectangle: Rounded Corners 43">
          <a:hlinkClick xmlns:r="http://schemas.openxmlformats.org/officeDocument/2006/relationships" r:id="rId14"/>
          <a:extLst>
            <a:ext uri="{FF2B5EF4-FFF2-40B4-BE49-F238E27FC236}">
              <a16:creationId xmlns:a16="http://schemas.microsoft.com/office/drawing/2014/main" id="{F9C948B6-A14E-4814-ACD0-EEBCB141177A}"/>
            </a:ext>
          </a:extLst>
        </xdr:cNvPr>
        <xdr:cNvSpPr/>
      </xdr:nvSpPr>
      <xdr:spPr>
        <a:xfrm>
          <a:off x="95250" y="403860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66675</xdr:colOff>
      <xdr:row>0</xdr:row>
      <xdr:rowOff>9525</xdr:rowOff>
    </xdr:from>
    <xdr:to>
      <xdr:col>20</xdr:col>
      <xdr:colOff>380999</xdr:colOff>
      <xdr:row>30</xdr:row>
      <xdr:rowOff>57150</xdr:rowOff>
    </xdr:to>
    <xdr:sp macro="" textlink="">
      <xdr:nvSpPr>
        <xdr:cNvPr id="2" name="Rectangle: Rounded Corners 1">
          <a:extLst>
            <a:ext uri="{FF2B5EF4-FFF2-40B4-BE49-F238E27FC236}">
              <a16:creationId xmlns:a16="http://schemas.microsoft.com/office/drawing/2014/main" id="{D00E7651-B002-41A9-ACA9-53A69F65E0B3}"/>
            </a:ext>
          </a:extLst>
        </xdr:cNvPr>
        <xdr:cNvSpPr/>
      </xdr:nvSpPr>
      <xdr:spPr>
        <a:xfrm>
          <a:off x="66675" y="9525"/>
          <a:ext cx="12506324" cy="5762625"/>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2</xdr:col>
      <xdr:colOff>361950</xdr:colOff>
      <xdr:row>0</xdr:row>
      <xdr:rowOff>0</xdr:rowOff>
    </xdr:from>
    <xdr:to>
      <xdr:col>20</xdr:col>
      <xdr:colOff>361948</xdr:colOff>
      <xdr:row>30</xdr:row>
      <xdr:rowOff>19050</xdr:rowOff>
    </xdr:to>
    <xdr:sp macro="" textlink="">
      <xdr:nvSpPr>
        <xdr:cNvPr id="3" name="Rectangle: Rounded Corners 2">
          <a:extLst>
            <a:ext uri="{FF2B5EF4-FFF2-40B4-BE49-F238E27FC236}">
              <a16:creationId xmlns:a16="http://schemas.microsoft.com/office/drawing/2014/main" id="{B524458D-0085-4F77-891F-409BABC9997C}"/>
            </a:ext>
          </a:extLst>
        </xdr:cNvPr>
        <xdr:cNvSpPr/>
      </xdr:nvSpPr>
      <xdr:spPr>
        <a:xfrm>
          <a:off x="1581150" y="0"/>
          <a:ext cx="10972798" cy="5734050"/>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3</xdr:col>
      <xdr:colOff>133350</xdr:colOff>
      <xdr:row>0</xdr:row>
      <xdr:rowOff>85726</xdr:rowOff>
    </xdr:from>
    <xdr:to>
      <xdr:col>11</xdr:col>
      <xdr:colOff>38100</xdr:colOff>
      <xdr:row>2</xdr:row>
      <xdr:rowOff>172726</xdr:rowOff>
    </xdr:to>
    <mc:AlternateContent xmlns:mc="http://schemas.openxmlformats.org/markup-compatibility/2006" xmlns:a14="http://schemas.microsoft.com/office/drawing/2010/main">
      <mc:Choice Requires="a14">
        <xdr:graphicFrame macro="">
          <xdr:nvGraphicFramePr>
            <xdr:cNvPr id="4" name="Category 5">
              <a:extLst>
                <a:ext uri="{FF2B5EF4-FFF2-40B4-BE49-F238E27FC236}">
                  <a16:creationId xmlns:a16="http://schemas.microsoft.com/office/drawing/2014/main" id="{633F42DF-9DE3-4449-90A4-1E93E6E86D2E}"/>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962150" y="85726"/>
              <a:ext cx="4781550" cy="46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247649</xdr:colOff>
      <xdr:row>0</xdr:row>
      <xdr:rowOff>95248</xdr:rowOff>
    </xdr:from>
    <xdr:to>
      <xdr:col>20</xdr:col>
      <xdr:colOff>95248</xdr:colOff>
      <xdr:row>2</xdr:row>
      <xdr:rowOff>171449</xdr:rowOff>
    </xdr:to>
    <mc:AlternateContent xmlns:mc="http://schemas.openxmlformats.org/markup-compatibility/2006" xmlns:a14="http://schemas.microsoft.com/office/drawing/2010/main">
      <mc:Choice Requires="a14">
        <xdr:graphicFrame macro="">
          <xdr:nvGraphicFramePr>
            <xdr:cNvPr id="5" name="Region 5">
              <a:extLst>
                <a:ext uri="{FF2B5EF4-FFF2-40B4-BE49-F238E27FC236}">
                  <a16:creationId xmlns:a16="http://schemas.microsoft.com/office/drawing/2014/main" id="{649AE762-2A29-416D-89AF-238560E10509}"/>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6734175" y="95248"/>
              <a:ext cx="5553074" cy="457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3</xdr:row>
      <xdr:rowOff>104775</xdr:rowOff>
    </xdr:from>
    <xdr:to>
      <xdr:col>20</xdr:col>
      <xdr:colOff>123825</xdr:colOff>
      <xdr:row>5</xdr:row>
      <xdr:rowOff>180975</xdr:rowOff>
    </xdr:to>
    <mc:AlternateContent xmlns:mc="http://schemas.openxmlformats.org/markup-compatibility/2006" xmlns:a14="http://schemas.microsoft.com/office/drawing/2010/main">
      <mc:Choice Requires="a14">
        <xdr:graphicFrame macro="">
          <xdr:nvGraphicFramePr>
            <xdr:cNvPr id="6" name="Month 5">
              <a:extLst>
                <a:ext uri="{FF2B5EF4-FFF2-40B4-BE49-F238E27FC236}">
                  <a16:creationId xmlns:a16="http://schemas.microsoft.com/office/drawing/2014/main" id="{5232C5D5-EE65-4EE8-99CB-19FA15897413}"/>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600199" y="676275"/>
              <a:ext cx="10715626"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247650</xdr:colOff>
      <xdr:row>11</xdr:row>
      <xdr:rowOff>24207</xdr:rowOff>
    </xdr:from>
    <xdr:to>
      <xdr:col>7</xdr:col>
      <xdr:colOff>442168</xdr:colOff>
      <xdr:row>14</xdr:row>
      <xdr:rowOff>57150</xdr:rowOff>
    </xdr:to>
    <xdr:sp macro="" textlink="">
      <xdr:nvSpPr>
        <xdr:cNvPr id="9" name="Rectangle: Rounded Corners 8">
          <a:extLst>
            <a:ext uri="{FF2B5EF4-FFF2-40B4-BE49-F238E27FC236}">
              <a16:creationId xmlns:a16="http://schemas.microsoft.com/office/drawing/2014/main" id="{1D318C63-6F1A-45EE-84B4-7D51E2F73BA9}"/>
            </a:ext>
          </a:extLst>
        </xdr:cNvPr>
        <xdr:cNvSpPr/>
      </xdr:nvSpPr>
      <xdr:spPr>
        <a:xfrm>
          <a:off x="2076450" y="2119707"/>
          <a:ext cx="2632918" cy="60444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504825</xdr:colOff>
      <xdr:row>11</xdr:row>
      <xdr:rowOff>57150</xdr:rowOff>
    </xdr:from>
    <xdr:to>
      <xdr:col>7</xdr:col>
      <xdr:colOff>378698</xdr:colOff>
      <xdr:row>14</xdr:row>
      <xdr:rowOff>19050</xdr:rowOff>
    </xdr:to>
    <xdr:sp macro="" textlink="">
      <xdr:nvSpPr>
        <xdr:cNvPr id="10" name="Rectangle: Rounded Corners 9">
          <a:extLst>
            <a:ext uri="{FF2B5EF4-FFF2-40B4-BE49-F238E27FC236}">
              <a16:creationId xmlns:a16="http://schemas.microsoft.com/office/drawing/2014/main" id="{671C52C7-95C1-4166-8043-D84B400FE200}"/>
            </a:ext>
          </a:extLst>
        </xdr:cNvPr>
        <xdr:cNvSpPr/>
      </xdr:nvSpPr>
      <xdr:spPr>
        <a:xfrm>
          <a:off x="2333625" y="2152650"/>
          <a:ext cx="2312273" cy="53340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561376</xdr:colOff>
      <xdr:row>10</xdr:row>
      <xdr:rowOff>161925</xdr:rowOff>
    </xdr:from>
    <xdr:to>
      <xdr:col>7</xdr:col>
      <xdr:colOff>398589</xdr:colOff>
      <xdr:row>12</xdr:row>
      <xdr:rowOff>162604</xdr:rowOff>
    </xdr:to>
    <xdr:sp macro="" textlink="">
      <xdr:nvSpPr>
        <xdr:cNvPr id="11" name="Rectangle: Rounded Corners 10">
          <a:extLst>
            <a:ext uri="{FF2B5EF4-FFF2-40B4-BE49-F238E27FC236}">
              <a16:creationId xmlns:a16="http://schemas.microsoft.com/office/drawing/2014/main" id="{C06262C7-ADBB-4EEF-AFA6-CC78D07431BC}"/>
            </a:ext>
          </a:extLst>
        </xdr:cNvPr>
        <xdr:cNvSpPr/>
      </xdr:nvSpPr>
      <xdr:spPr>
        <a:xfrm>
          <a:off x="2390176" y="2066925"/>
          <a:ext cx="2275613"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6B4E3D"/>
              </a:solidFill>
            </a:rPr>
            <a:t>AVG ORDER</a:t>
          </a:r>
          <a:r>
            <a:rPr lang="en-US" sz="1200" b="1" baseline="0">
              <a:solidFill>
                <a:srgbClr val="6B4E3D"/>
              </a:solidFill>
            </a:rPr>
            <a:t> PER CUSTOMER</a:t>
          </a:r>
          <a:endParaRPr lang="en-US" sz="1600" b="1">
            <a:solidFill>
              <a:srgbClr val="6B4E3D"/>
            </a:solidFill>
          </a:endParaRPr>
        </a:p>
      </xdr:txBody>
    </xdr:sp>
    <xdr:clientData/>
  </xdr:twoCellAnchor>
  <xdr:twoCellAnchor>
    <xdr:from>
      <xdr:col>4</xdr:col>
      <xdr:colOff>382519</xdr:colOff>
      <xdr:row>12</xdr:row>
      <xdr:rowOff>30878</xdr:rowOff>
    </xdr:from>
    <xdr:to>
      <xdr:col>6</xdr:col>
      <xdr:colOff>476251</xdr:colOff>
      <xdr:row>14</xdr:row>
      <xdr:rowOff>16714</xdr:rowOff>
    </xdr:to>
    <xdr:sp macro="" textlink="">
      <xdr:nvSpPr>
        <xdr:cNvPr id="13" name="Rectangle: Rounded Corners 12">
          <a:extLst>
            <a:ext uri="{FF2B5EF4-FFF2-40B4-BE49-F238E27FC236}">
              <a16:creationId xmlns:a16="http://schemas.microsoft.com/office/drawing/2014/main" id="{A12854C5-1FF4-4089-82F9-F86D7D175531}"/>
            </a:ext>
          </a:extLst>
        </xdr:cNvPr>
        <xdr:cNvSpPr/>
      </xdr:nvSpPr>
      <xdr:spPr>
        <a:xfrm>
          <a:off x="2820919" y="2316878"/>
          <a:ext cx="1312932"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6B4E3D"/>
              </a:solidFill>
            </a:rPr>
            <a:t>4</a:t>
          </a:r>
          <a:r>
            <a:rPr lang="en-US" sz="2000" b="1" baseline="0">
              <a:solidFill>
                <a:srgbClr val="6B4E3D"/>
              </a:solidFill>
            </a:rPr>
            <a:t> </a:t>
          </a:r>
          <a:endParaRPr lang="en-US" sz="1050" b="1">
            <a:solidFill>
              <a:srgbClr val="6B4E3D"/>
            </a:solidFill>
          </a:endParaRPr>
        </a:p>
      </xdr:txBody>
    </xdr:sp>
    <xdr:clientData/>
  </xdr:twoCellAnchor>
  <xdr:twoCellAnchor>
    <xdr:from>
      <xdr:col>3</xdr:col>
      <xdr:colOff>457200</xdr:colOff>
      <xdr:row>7</xdr:row>
      <xdr:rowOff>47625</xdr:rowOff>
    </xdr:from>
    <xdr:to>
      <xdr:col>10</xdr:col>
      <xdr:colOff>9528</xdr:colOff>
      <xdr:row>9</xdr:row>
      <xdr:rowOff>38100</xdr:rowOff>
    </xdr:to>
    <xdr:sp macro="" textlink="">
      <xdr:nvSpPr>
        <xdr:cNvPr id="15" name="Rectangle: Rounded Corners 14">
          <a:extLst>
            <a:ext uri="{FF2B5EF4-FFF2-40B4-BE49-F238E27FC236}">
              <a16:creationId xmlns:a16="http://schemas.microsoft.com/office/drawing/2014/main" id="{3991CB29-D13F-4577-80F2-54323E3BDCE4}"/>
            </a:ext>
          </a:extLst>
        </xdr:cNvPr>
        <xdr:cNvSpPr/>
      </xdr:nvSpPr>
      <xdr:spPr>
        <a:xfrm>
          <a:off x="2286000" y="1381125"/>
          <a:ext cx="3819528" cy="371475"/>
        </a:xfrm>
        <a:prstGeom prst="roundRect">
          <a:avLst>
            <a:gd name="adj" fmla="val 30181"/>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500" b="1">
              <a:solidFill>
                <a:srgbClr val="6B4E3D"/>
              </a:solidFill>
              <a:latin typeface="Times New Roman" panose="02020603050405020304" pitchFamily="18" charset="0"/>
              <a:cs typeface="Times New Roman" panose="02020603050405020304" pitchFamily="18" charset="0"/>
            </a:rPr>
            <a:t>CUSTOMER &amp;</a:t>
          </a:r>
          <a:r>
            <a:rPr lang="en-US" sz="1500" b="1" baseline="0">
              <a:solidFill>
                <a:srgbClr val="6B4E3D"/>
              </a:solidFill>
              <a:latin typeface="Times New Roman" panose="02020603050405020304" pitchFamily="18" charset="0"/>
              <a:cs typeface="Times New Roman" panose="02020603050405020304" pitchFamily="18" charset="0"/>
            </a:rPr>
            <a:t> PAYMENT INSIGHT'S</a:t>
          </a:r>
          <a:endParaRPr lang="en-US" sz="1500" b="1">
            <a:solidFill>
              <a:srgbClr val="6B4E3D"/>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533400</xdr:colOff>
      <xdr:row>11</xdr:row>
      <xdr:rowOff>33732</xdr:rowOff>
    </xdr:from>
    <xdr:to>
      <xdr:col>12</xdr:col>
      <xdr:colOff>118318</xdr:colOff>
      <xdr:row>14</xdr:row>
      <xdr:rowOff>66675</xdr:rowOff>
    </xdr:to>
    <xdr:sp macro="" textlink="">
      <xdr:nvSpPr>
        <xdr:cNvPr id="19" name="Rectangle: Rounded Corners 18">
          <a:extLst>
            <a:ext uri="{FF2B5EF4-FFF2-40B4-BE49-F238E27FC236}">
              <a16:creationId xmlns:a16="http://schemas.microsoft.com/office/drawing/2014/main" id="{8B4AA8D9-1AD2-4121-8A2D-C52E06F6A342}"/>
            </a:ext>
          </a:extLst>
        </xdr:cNvPr>
        <xdr:cNvSpPr/>
      </xdr:nvSpPr>
      <xdr:spPr>
        <a:xfrm>
          <a:off x="4800600" y="2129232"/>
          <a:ext cx="2632918" cy="604443"/>
        </a:xfrm>
        <a:prstGeom prst="roundRect">
          <a:avLst>
            <a:gd name="adj" fmla="val 26961"/>
          </a:avLst>
        </a:prstGeom>
        <a:solidFill>
          <a:srgbClr val="6B4E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11</xdr:row>
      <xdr:rowOff>66675</xdr:rowOff>
    </xdr:from>
    <xdr:to>
      <xdr:col>12</xdr:col>
      <xdr:colOff>54848</xdr:colOff>
      <xdr:row>14</xdr:row>
      <xdr:rowOff>28575</xdr:rowOff>
    </xdr:to>
    <xdr:sp macro="" textlink="">
      <xdr:nvSpPr>
        <xdr:cNvPr id="20" name="Rectangle: Rounded Corners 19">
          <a:extLst>
            <a:ext uri="{FF2B5EF4-FFF2-40B4-BE49-F238E27FC236}">
              <a16:creationId xmlns:a16="http://schemas.microsoft.com/office/drawing/2014/main" id="{95299F4C-EF07-4760-A746-C7A7F895B34B}"/>
            </a:ext>
          </a:extLst>
        </xdr:cNvPr>
        <xdr:cNvSpPr/>
      </xdr:nvSpPr>
      <xdr:spPr>
        <a:xfrm>
          <a:off x="5057775" y="2162175"/>
          <a:ext cx="2312273" cy="533400"/>
        </a:xfrm>
        <a:prstGeom prst="roundRect">
          <a:avLst>
            <a:gd name="adj" fmla="val 26961"/>
          </a:avLst>
        </a:prstGeom>
        <a:solidFill>
          <a:srgbClr val="FDF0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294676</xdr:colOff>
      <xdr:row>10</xdr:row>
      <xdr:rowOff>171450</xdr:rowOff>
    </xdr:from>
    <xdr:to>
      <xdr:col>12</xdr:col>
      <xdr:colOff>131889</xdr:colOff>
      <xdr:row>12</xdr:row>
      <xdr:rowOff>172129</xdr:rowOff>
    </xdr:to>
    <xdr:sp macro="" textlink="">
      <xdr:nvSpPr>
        <xdr:cNvPr id="21" name="Rectangle: Rounded Corners 20">
          <a:extLst>
            <a:ext uri="{FF2B5EF4-FFF2-40B4-BE49-F238E27FC236}">
              <a16:creationId xmlns:a16="http://schemas.microsoft.com/office/drawing/2014/main" id="{406BD244-99F1-4738-937C-62119E33D86D}"/>
            </a:ext>
          </a:extLst>
        </xdr:cNvPr>
        <xdr:cNvSpPr/>
      </xdr:nvSpPr>
      <xdr:spPr>
        <a:xfrm>
          <a:off x="5171476" y="2076450"/>
          <a:ext cx="2275613" cy="3816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6B4E3D"/>
              </a:solidFill>
            </a:rPr>
            <a:t>AVG SPENDING</a:t>
          </a:r>
          <a:r>
            <a:rPr lang="en-US" sz="1200" b="1" baseline="0">
              <a:solidFill>
                <a:srgbClr val="6B4E3D"/>
              </a:solidFill>
            </a:rPr>
            <a:t> PER CUSTOMER</a:t>
          </a:r>
          <a:endParaRPr lang="en-US" sz="1600" b="1">
            <a:solidFill>
              <a:srgbClr val="6B4E3D"/>
            </a:solidFill>
          </a:endParaRPr>
        </a:p>
      </xdr:txBody>
    </xdr:sp>
    <xdr:clientData/>
  </xdr:twoCellAnchor>
  <xdr:twoCellAnchor>
    <xdr:from>
      <xdr:col>9</xdr:col>
      <xdr:colOff>58669</xdr:colOff>
      <xdr:row>12</xdr:row>
      <xdr:rowOff>40403</xdr:rowOff>
    </xdr:from>
    <xdr:to>
      <xdr:col>11</xdr:col>
      <xdr:colOff>152401</xdr:colOff>
      <xdr:row>14</xdr:row>
      <xdr:rowOff>26239</xdr:rowOff>
    </xdr:to>
    <xdr:sp macro="" textlink="">
      <xdr:nvSpPr>
        <xdr:cNvPr id="22" name="Rectangle: Rounded Corners 21">
          <a:extLst>
            <a:ext uri="{FF2B5EF4-FFF2-40B4-BE49-F238E27FC236}">
              <a16:creationId xmlns:a16="http://schemas.microsoft.com/office/drawing/2014/main" id="{F96988FC-C319-4F8B-87D5-D101060F5DF5}"/>
            </a:ext>
          </a:extLst>
        </xdr:cNvPr>
        <xdr:cNvSpPr/>
      </xdr:nvSpPr>
      <xdr:spPr>
        <a:xfrm>
          <a:off x="5545069" y="2326403"/>
          <a:ext cx="1312932" cy="366836"/>
        </a:xfrm>
        <a:prstGeom prst="roundRect">
          <a:avLst>
            <a:gd name="adj" fmla="val 4267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solidFill>
                <a:srgbClr val="6B4E3D"/>
              </a:solidFill>
            </a:rPr>
            <a:t>520 </a:t>
          </a:r>
          <a:endParaRPr lang="en-US" sz="1050" b="1">
            <a:solidFill>
              <a:srgbClr val="6B4E3D"/>
            </a:solidFill>
          </a:endParaRPr>
        </a:p>
      </xdr:txBody>
    </xdr:sp>
    <xdr:clientData/>
  </xdr:twoCellAnchor>
  <xdr:twoCellAnchor>
    <xdr:from>
      <xdr:col>8</xdr:col>
      <xdr:colOff>200025</xdr:colOff>
      <xdr:row>11</xdr:row>
      <xdr:rowOff>114300</xdr:rowOff>
    </xdr:from>
    <xdr:to>
      <xdr:col>8</xdr:col>
      <xdr:colOff>541059</xdr:colOff>
      <xdr:row>15</xdr:row>
      <xdr:rowOff>74308</xdr:rowOff>
    </xdr:to>
    <xdr:sp macro="" textlink="">
      <xdr:nvSpPr>
        <xdr:cNvPr id="23" name="Text Box 1">
          <a:extLst>
            <a:ext uri="{FF2B5EF4-FFF2-40B4-BE49-F238E27FC236}">
              <a16:creationId xmlns:a16="http://schemas.microsoft.com/office/drawing/2014/main" id="{396173AF-DA2D-492F-812F-91D9CD675DB0}"/>
            </a:ext>
          </a:extLst>
        </xdr:cNvPr>
        <xdr:cNvSpPr txBox="1">
          <a:spLocks noChangeArrowheads="1"/>
        </xdr:cNvSpPr>
      </xdr:nvSpPr>
      <xdr:spPr bwMode="auto">
        <a:xfrm>
          <a:off x="5076825" y="2209800"/>
          <a:ext cx="341034" cy="722008"/>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200" b="0" i="0" u="none" strike="noStrike" baseline="0">
              <a:solidFill>
                <a:srgbClr val="6B4E3D"/>
              </a:solidFill>
              <a:latin typeface="Calibri"/>
              <a:cs typeface="Calibri"/>
            </a:rPr>
            <a:t>₹</a:t>
          </a:r>
          <a:endParaRPr lang="en-US" sz="1000" b="0" i="0" u="none" strike="noStrike" baseline="0">
            <a:solidFill>
              <a:srgbClr val="6B4E3D"/>
            </a:solidFill>
            <a:latin typeface="Calibri"/>
            <a:cs typeface="Calibri"/>
          </a:endParaRPr>
        </a:p>
      </xdr:txBody>
    </xdr:sp>
    <xdr:clientData/>
  </xdr:twoCellAnchor>
  <xdr:twoCellAnchor>
    <xdr:from>
      <xdr:col>14</xdr:col>
      <xdr:colOff>180975</xdr:colOff>
      <xdr:row>7</xdr:row>
      <xdr:rowOff>104774</xdr:rowOff>
    </xdr:from>
    <xdr:to>
      <xdr:col>20</xdr:col>
      <xdr:colOff>47625</xdr:colOff>
      <xdr:row>16</xdr:row>
      <xdr:rowOff>28575</xdr:rowOff>
    </xdr:to>
    <xdr:graphicFrame macro="">
      <xdr:nvGraphicFramePr>
        <xdr:cNvPr id="24" name="Chart 23">
          <a:extLst>
            <a:ext uri="{FF2B5EF4-FFF2-40B4-BE49-F238E27FC236}">
              <a16:creationId xmlns:a16="http://schemas.microsoft.com/office/drawing/2014/main" id="{57BD9F29-CF1C-41DE-A5F0-751FF28AE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209549</xdr:colOff>
      <xdr:row>16</xdr:row>
      <xdr:rowOff>161925</xdr:rowOff>
    </xdr:from>
    <xdr:to>
      <xdr:col>20</xdr:col>
      <xdr:colOff>66674</xdr:colOff>
      <xdr:row>29</xdr:row>
      <xdr:rowOff>114299</xdr:rowOff>
    </xdr:to>
    <xdr:graphicFrame macro="">
      <xdr:nvGraphicFramePr>
        <xdr:cNvPr id="25" name="Chart 24">
          <a:extLst>
            <a:ext uri="{FF2B5EF4-FFF2-40B4-BE49-F238E27FC236}">
              <a16:creationId xmlns:a16="http://schemas.microsoft.com/office/drawing/2014/main" id="{0367F583-9D61-4303-8D10-41FA5F6B6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581025</xdr:colOff>
      <xdr:row>7</xdr:row>
      <xdr:rowOff>38100</xdr:rowOff>
    </xdr:from>
    <xdr:to>
      <xdr:col>3</xdr:col>
      <xdr:colOff>381000</xdr:colOff>
      <xdr:row>9</xdr:row>
      <xdr:rowOff>66675</xdr:rowOff>
    </xdr:to>
    <xdr:pic>
      <xdr:nvPicPr>
        <xdr:cNvPr id="16" name="Graphic 15" descr="Target Audience with solid fill">
          <a:extLst>
            <a:ext uri="{FF2B5EF4-FFF2-40B4-BE49-F238E27FC236}">
              <a16:creationId xmlns:a16="http://schemas.microsoft.com/office/drawing/2014/main" id="{F5EDB4DF-C0DF-466F-8772-9C431CD9F2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00225" y="1371600"/>
          <a:ext cx="409575" cy="409575"/>
        </a:xfrm>
        <a:prstGeom prst="rect">
          <a:avLst/>
        </a:prstGeom>
      </xdr:spPr>
    </xdr:pic>
    <xdr:clientData/>
  </xdr:twoCellAnchor>
  <xdr:twoCellAnchor editAs="oneCell">
    <xdr:from>
      <xdr:col>0</xdr:col>
      <xdr:colOff>476251</xdr:colOff>
      <xdr:row>0</xdr:row>
      <xdr:rowOff>152400</xdr:rowOff>
    </xdr:from>
    <xdr:to>
      <xdr:col>1</xdr:col>
      <xdr:colOff>552451</xdr:colOff>
      <xdr:row>3</xdr:row>
      <xdr:rowOff>141673</xdr:rowOff>
    </xdr:to>
    <xdr:pic>
      <xdr:nvPicPr>
        <xdr:cNvPr id="26" name="Picture 25">
          <a:extLst>
            <a:ext uri="{FF2B5EF4-FFF2-40B4-BE49-F238E27FC236}">
              <a16:creationId xmlns:a16="http://schemas.microsoft.com/office/drawing/2014/main" id="{A2A8E6C9-1001-49C8-BB4F-8B2E54B2FF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1" y="152400"/>
          <a:ext cx="685800" cy="560773"/>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123825</xdr:colOff>
      <xdr:row>7</xdr:row>
      <xdr:rowOff>28575</xdr:rowOff>
    </xdr:from>
    <xdr:to>
      <xdr:col>2</xdr:col>
      <xdr:colOff>285750</xdr:colOff>
      <xdr:row>8</xdr:row>
      <xdr:rowOff>171449</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4EE090C1-7BB0-400B-A65A-E6036CA9FD82}"/>
            </a:ext>
          </a:extLst>
        </xdr:cNvPr>
        <xdr:cNvSpPr/>
      </xdr:nvSpPr>
      <xdr:spPr>
        <a:xfrm>
          <a:off x="123825" y="13620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123824</xdr:colOff>
      <xdr:row>9</xdr:row>
      <xdr:rowOff>114302</xdr:rowOff>
    </xdr:from>
    <xdr:to>
      <xdr:col>2</xdr:col>
      <xdr:colOff>285749</xdr:colOff>
      <xdr:row>11</xdr:row>
      <xdr:rowOff>66676</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6A78B730-4569-4DBA-B74C-59F4F9899F72}"/>
            </a:ext>
          </a:extLst>
        </xdr:cNvPr>
        <xdr:cNvSpPr/>
      </xdr:nvSpPr>
      <xdr:spPr>
        <a:xfrm>
          <a:off x="123824" y="1828802"/>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123824</xdr:colOff>
      <xdr:row>11</xdr:row>
      <xdr:rowOff>161927</xdr:rowOff>
    </xdr:from>
    <xdr:to>
      <xdr:col>2</xdr:col>
      <xdr:colOff>285749</xdr:colOff>
      <xdr:row>13</xdr:row>
      <xdr:rowOff>114301</xdr:rowOff>
    </xdr:to>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2043F197-B897-4BE9-BB85-F9797D458884}"/>
            </a:ext>
          </a:extLst>
        </xdr:cNvPr>
        <xdr:cNvSpPr/>
      </xdr:nvSpPr>
      <xdr:spPr>
        <a:xfrm>
          <a:off x="123824" y="2257427"/>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104775</xdr:colOff>
      <xdr:row>14</xdr:row>
      <xdr:rowOff>19050</xdr:rowOff>
    </xdr:from>
    <xdr:to>
      <xdr:col>2</xdr:col>
      <xdr:colOff>266700</xdr:colOff>
      <xdr:row>15</xdr:row>
      <xdr:rowOff>161924</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A91A349A-D844-4C7E-A569-F56FCE4EC0BC}"/>
            </a:ext>
          </a:extLst>
        </xdr:cNvPr>
        <xdr:cNvSpPr/>
      </xdr:nvSpPr>
      <xdr:spPr>
        <a:xfrm>
          <a:off x="104775" y="268605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114300</xdr:colOff>
      <xdr:row>16</xdr:row>
      <xdr:rowOff>66675</xdr:rowOff>
    </xdr:from>
    <xdr:to>
      <xdr:col>2</xdr:col>
      <xdr:colOff>276225</xdr:colOff>
      <xdr:row>18</xdr:row>
      <xdr:rowOff>19049</xdr:rowOff>
    </xdr:to>
    <xdr:sp macro="" textlink="">
      <xdr:nvSpPr>
        <xdr:cNvPr id="31" name="Rectangle: Rounded Corners 30">
          <a:hlinkClick xmlns:r="http://schemas.openxmlformats.org/officeDocument/2006/relationships" r:id="rId10"/>
          <a:extLst>
            <a:ext uri="{FF2B5EF4-FFF2-40B4-BE49-F238E27FC236}">
              <a16:creationId xmlns:a16="http://schemas.microsoft.com/office/drawing/2014/main" id="{D2D1774C-1128-477A-A852-D88FF4091CEF}"/>
            </a:ext>
          </a:extLst>
        </xdr:cNvPr>
        <xdr:cNvSpPr/>
      </xdr:nvSpPr>
      <xdr:spPr>
        <a:xfrm>
          <a:off x="114300" y="31146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133350</xdr:colOff>
      <xdr:row>18</xdr:row>
      <xdr:rowOff>133349</xdr:rowOff>
    </xdr:from>
    <xdr:to>
      <xdr:col>2</xdr:col>
      <xdr:colOff>285750</xdr:colOff>
      <xdr:row>20</xdr:row>
      <xdr:rowOff>85725</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D07F01FD-4B85-49CB-8ACE-559A62550126}"/>
            </a:ext>
          </a:extLst>
        </xdr:cNvPr>
        <xdr:cNvSpPr/>
      </xdr:nvSpPr>
      <xdr:spPr>
        <a:xfrm>
          <a:off x="133350" y="3562349"/>
          <a:ext cx="1371600" cy="333376"/>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133350</xdr:colOff>
      <xdr:row>21</xdr:row>
      <xdr:rowOff>0</xdr:rowOff>
    </xdr:from>
    <xdr:to>
      <xdr:col>2</xdr:col>
      <xdr:colOff>295275</xdr:colOff>
      <xdr:row>22</xdr:row>
      <xdr:rowOff>142874</xdr:rowOff>
    </xdr:to>
    <xdr:sp macro="" textlink="">
      <xdr:nvSpPr>
        <xdr:cNvPr id="33" name="Rectangle: Rounded Corners 32">
          <a:hlinkClick xmlns:r="http://schemas.openxmlformats.org/officeDocument/2006/relationships" r:id="rId12"/>
          <a:extLst>
            <a:ext uri="{FF2B5EF4-FFF2-40B4-BE49-F238E27FC236}">
              <a16:creationId xmlns:a16="http://schemas.microsoft.com/office/drawing/2014/main" id="{BB06E786-C964-4814-B205-4679F85C6E60}"/>
            </a:ext>
          </a:extLst>
        </xdr:cNvPr>
        <xdr:cNvSpPr/>
      </xdr:nvSpPr>
      <xdr:spPr>
        <a:xfrm>
          <a:off x="133350" y="400050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20</xdr:col>
      <xdr:colOff>514350</xdr:colOff>
      <xdr:row>30</xdr:row>
      <xdr:rowOff>57150</xdr:rowOff>
    </xdr:to>
    <xdr:sp macro="" textlink="">
      <xdr:nvSpPr>
        <xdr:cNvPr id="2" name="Rectangle: Rounded Corners 1">
          <a:extLst>
            <a:ext uri="{FF2B5EF4-FFF2-40B4-BE49-F238E27FC236}">
              <a16:creationId xmlns:a16="http://schemas.microsoft.com/office/drawing/2014/main" id="{1D799D48-D4E7-42BA-9A3E-EF8AE9319419}"/>
            </a:ext>
          </a:extLst>
        </xdr:cNvPr>
        <xdr:cNvSpPr/>
      </xdr:nvSpPr>
      <xdr:spPr>
        <a:xfrm>
          <a:off x="57150" y="114300"/>
          <a:ext cx="12649200" cy="5657850"/>
        </a:xfrm>
        <a:prstGeom prst="roundRect">
          <a:avLst>
            <a:gd name="adj" fmla="val 10428"/>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2</xdr:col>
      <xdr:colOff>314324</xdr:colOff>
      <xdr:row>0</xdr:row>
      <xdr:rowOff>123824</xdr:rowOff>
    </xdr:from>
    <xdr:to>
      <xdr:col>20</xdr:col>
      <xdr:colOff>495299</xdr:colOff>
      <xdr:row>30</xdr:row>
      <xdr:rowOff>19049</xdr:rowOff>
    </xdr:to>
    <xdr:sp macro="" textlink="">
      <xdr:nvSpPr>
        <xdr:cNvPr id="3" name="Rectangle: Rounded Corners 2">
          <a:extLst>
            <a:ext uri="{FF2B5EF4-FFF2-40B4-BE49-F238E27FC236}">
              <a16:creationId xmlns:a16="http://schemas.microsoft.com/office/drawing/2014/main" id="{D3B39123-986A-4020-AE27-2872E8506BC2}"/>
            </a:ext>
          </a:extLst>
        </xdr:cNvPr>
        <xdr:cNvSpPr/>
      </xdr:nvSpPr>
      <xdr:spPr>
        <a:xfrm>
          <a:off x="1533524" y="123824"/>
          <a:ext cx="11153775" cy="5610225"/>
        </a:xfrm>
        <a:prstGeom prst="roundRect">
          <a:avLst>
            <a:gd name="adj" fmla="val 8645"/>
          </a:avLst>
        </a:prstGeom>
        <a:solidFill>
          <a:srgbClr val="FDF0BB"/>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152399</xdr:colOff>
      <xdr:row>1</xdr:row>
      <xdr:rowOff>76200</xdr:rowOff>
    </xdr:from>
    <xdr:to>
      <xdr:col>8</xdr:col>
      <xdr:colOff>161924</xdr:colOff>
      <xdr:row>3</xdr:row>
      <xdr:rowOff>142875</xdr:rowOff>
    </xdr:to>
    <xdr:sp macro="" textlink="">
      <xdr:nvSpPr>
        <xdr:cNvPr id="9" name="Rectangle: Rounded Corners 8">
          <a:extLst>
            <a:ext uri="{FF2B5EF4-FFF2-40B4-BE49-F238E27FC236}">
              <a16:creationId xmlns:a16="http://schemas.microsoft.com/office/drawing/2014/main" id="{F18EDE95-69B1-4225-8F36-3CDC3F6CDC97}"/>
            </a:ext>
          </a:extLst>
        </xdr:cNvPr>
        <xdr:cNvSpPr/>
      </xdr:nvSpPr>
      <xdr:spPr>
        <a:xfrm>
          <a:off x="2590799" y="266700"/>
          <a:ext cx="2447925" cy="447675"/>
        </a:xfrm>
        <a:prstGeom prst="roundRect">
          <a:avLst>
            <a:gd name="adj" fmla="val 30181"/>
          </a:avLst>
        </a:prstGeom>
        <a:solidFill>
          <a:srgbClr val="F2CC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6B4E3D"/>
              </a:solidFill>
              <a:latin typeface="Times New Roman" panose="02020603050405020304" pitchFamily="18" charset="0"/>
              <a:cs typeface="Times New Roman" panose="02020603050405020304" pitchFamily="18" charset="0"/>
            </a:rPr>
            <a:t>KEY</a:t>
          </a:r>
          <a:r>
            <a:rPr lang="en-US" sz="2000" b="1" baseline="0">
              <a:solidFill>
                <a:srgbClr val="6B4E3D"/>
              </a:solidFill>
              <a:latin typeface="Times New Roman" panose="02020603050405020304" pitchFamily="18" charset="0"/>
              <a:cs typeface="Times New Roman" panose="02020603050405020304" pitchFamily="18" charset="0"/>
            </a:rPr>
            <a:t> INSIGHT'S</a:t>
          </a:r>
          <a:endParaRPr lang="en-US" sz="2000" b="1">
            <a:solidFill>
              <a:srgbClr val="6B4E3D"/>
            </a:solidFill>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28575</xdr:colOff>
      <xdr:row>1</xdr:row>
      <xdr:rowOff>1</xdr:rowOff>
    </xdr:from>
    <xdr:to>
      <xdr:col>4</xdr:col>
      <xdr:colOff>28575</xdr:colOff>
      <xdr:row>4</xdr:row>
      <xdr:rowOff>38101</xdr:rowOff>
    </xdr:to>
    <xdr:pic>
      <xdr:nvPicPr>
        <xdr:cNvPr id="15" name="Graphic 14" descr="Target Audience with solid fill">
          <a:extLst>
            <a:ext uri="{FF2B5EF4-FFF2-40B4-BE49-F238E27FC236}">
              <a16:creationId xmlns:a16="http://schemas.microsoft.com/office/drawing/2014/main" id="{38280B6F-5119-4BC6-9D34-94FB3B4389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57375" y="190501"/>
          <a:ext cx="609600" cy="609600"/>
        </a:xfrm>
        <a:prstGeom prst="rect">
          <a:avLst/>
        </a:prstGeom>
      </xdr:spPr>
    </xdr:pic>
    <xdr:clientData/>
  </xdr:twoCellAnchor>
  <xdr:twoCellAnchor editAs="oneCell">
    <xdr:from>
      <xdr:col>0</xdr:col>
      <xdr:colOff>438151</xdr:colOff>
      <xdr:row>1</xdr:row>
      <xdr:rowOff>76200</xdr:rowOff>
    </xdr:from>
    <xdr:to>
      <xdr:col>1</xdr:col>
      <xdr:colOff>514351</xdr:colOff>
      <xdr:row>4</xdr:row>
      <xdr:rowOff>65473</xdr:rowOff>
    </xdr:to>
    <xdr:pic>
      <xdr:nvPicPr>
        <xdr:cNvPr id="16" name="Picture 15">
          <a:extLst>
            <a:ext uri="{FF2B5EF4-FFF2-40B4-BE49-F238E27FC236}">
              <a16:creationId xmlns:a16="http://schemas.microsoft.com/office/drawing/2014/main" id="{5E0232F0-F88E-4FA1-B5AB-C7D6FE3EAA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8151" y="266700"/>
          <a:ext cx="685800" cy="560773"/>
        </a:xfrm>
        <a:prstGeom prst="rect">
          <a:avLst/>
        </a:prstGeom>
        <a:ln w="38100" cap="sq">
          <a:solidFill>
            <a:schemeClr val="bg1">
              <a:lumMod val="75000"/>
            </a:schemeClr>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57150</xdr:colOff>
      <xdr:row>7</xdr:row>
      <xdr:rowOff>28575</xdr:rowOff>
    </xdr:from>
    <xdr:to>
      <xdr:col>2</xdr:col>
      <xdr:colOff>219075</xdr:colOff>
      <xdr:row>8</xdr:row>
      <xdr:rowOff>171449</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822BBF21-6F3E-4807-B773-840DF0B656EA}"/>
            </a:ext>
          </a:extLst>
        </xdr:cNvPr>
        <xdr:cNvSpPr/>
      </xdr:nvSpPr>
      <xdr:spPr>
        <a:xfrm>
          <a:off x="57150" y="13620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MAIN</a:t>
          </a:r>
          <a:r>
            <a:rPr lang="en-US" sz="900" b="1" baseline="0">
              <a:solidFill>
                <a:srgbClr val="6B4E3D"/>
              </a:solidFill>
            </a:rPr>
            <a:t> DASHBOARD</a:t>
          </a:r>
          <a:endParaRPr lang="en-US" sz="900" b="1">
            <a:solidFill>
              <a:srgbClr val="6B4E3D"/>
            </a:solidFill>
          </a:endParaRPr>
        </a:p>
      </xdr:txBody>
    </xdr:sp>
    <xdr:clientData/>
  </xdr:twoCellAnchor>
  <xdr:twoCellAnchor>
    <xdr:from>
      <xdr:col>0</xdr:col>
      <xdr:colOff>57149</xdr:colOff>
      <xdr:row>9</xdr:row>
      <xdr:rowOff>114302</xdr:rowOff>
    </xdr:from>
    <xdr:to>
      <xdr:col>2</xdr:col>
      <xdr:colOff>219074</xdr:colOff>
      <xdr:row>11</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2C0AD0E4-A0E4-4EEC-8989-A9E1EC0A5C20}"/>
            </a:ext>
          </a:extLst>
        </xdr:cNvPr>
        <xdr:cNvSpPr/>
      </xdr:nvSpPr>
      <xdr:spPr>
        <a:xfrm>
          <a:off x="57149" y="1828802"/>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PERFORMANCE</a:t>
          </a:r>
        </a:p>
      </xdr:txBody>
    </xdr:sp>
    <xdr:clientData/>
  </xdr:twoCellAnchor>
  <xdr:twoCellAnchor>
    <xdr:from>
      <xdr:col>0</xdr:col>
      <xdr:colOff>57149</xdr:colOff>
      <xdr:row>11</xdr:row>
      <xdr:rowOff>161927</xdr:rowOff>
    </xdr:from>
    <xdr:to>
      <xdr:col>2</xdr:col>
      <xdr:colOff>219074</xdr:colOff>
      <xdr:row>13</xdr:row>
      <xdr:rowOff>114301</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7D9019D3-55CE-48BE-B332-D96D96DAC291}"/>
            </a:ext>
          </a:extLst>
        </xdr:cNvPr>
        <xdr:cNvSpPr/>
      </xdr:nvSpPr>
      <xdr:spPr>
        <a:xfrm>
          <a:off x="57149" y="2257427"/>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BRANCH</a:t>
          </a:r>
          <a:r>
            <a:rPr lang="en-US" sz="900" b="1" baseline="0">
              <a:solidFill>
                <a:srgbClr val="6B4E3D"/>
              </a:solidFill>
            </a:rPr>
            <a:t> &amp; REGION</a:t>
          </a:r>
          <a:endParaRPr lang="en-US" sz="900" b="1">
            <a:solidFill>
              <a:srgbClr val="6B4E3D"/>
            </a:solidFill>
          </a:endParaRPr>
        </a:p>
      </xdr:txBody>
    </xdr:sp>
    <xdr:clientData/>
  </xdr:twoCellAnchor>
  <xdr:twoCellAnchor>
    <xdr:from>
      <xdr:col>0</xdr:col>
      <xdr:colOff>38100</xdr:colOff>
      <xdr:row>14</xdr:row>
      <xdr:rowOff>19050</xdr:rowOff>
    </xdr:from>
    <xdr:to>
      <xdr:col>2</xdr:col>
      <xdr:colOff>200025</xdr:colOff>
      <xdr:row>15</xdr:row>
      <xdr:rowOff>161924</xdr:rowOff>
    </xdr:to>
    <xdr:sp macro="" textlink="">
      <xdr:nvSpPr>
        <xdr:cNvPr id="20" name="Rectangle: Rounded Corners 19">
          <a:hlinkClick xmlns:r="http://schemas.openxmlformats.org/officeDocument/2006/relationships" r:id="rId7"/>
          <a:extLst>
            <a:ext uri="{FF2B5EF4-FFF2-40B4-BE49-F238E27FC236}">
              <a16:creationId xmlns:a16="http://schemas.microsoft.com/office/drawing/2014/main" id="{B2982DE8-787B-4928-AC60-457093174AE8}"/>
            </a:ext>
          </a:extLst>
        </xdr:cNvPr>
        <xdr:cNvSpPr/>
      </xdr:nvSpPr>
      <xdr:spPr>
        <a:xfrm>
          <a:off x="38100" y="2686050"/>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PRODUCT</a:t>
          </a:r>
          <a:r>
            <a:rPr lang="en-US" sz="900" b="1" baseline="0">
              <a:solidFill>
                <a:srgbClr val="6B4E3D"/>
              </a:solidFill>
            </a:rPr>
            <a:t> &amp; CATEGORY</a:t>
          </a:r>
          <a:endParaRPr lang="en-US" sz="900" b="1">
            <a:solidFill>
              <a:srgbClr val="6B4E3D"/>
            </a:solidFill>
          </a:endParaRPr>
        </a:p>
      </xdr:txBody>
    </xdr:sp>
    <xdr:clientData/>
  </xdr:twoCellAnchor>
  <xdr:twoCellAnchor>
    <xdr:from>
      <xdr:col>0</xdr:col>
      <xdr:colOff>47625</xdr:colOff>
      <xdr:row>16</xdr:row>
      <xdr:rowOff>66675</xdr:rowOff>
    </xdr:from>
    <xdr:to>
      <xdr:col>2</xdr:col>
      <xdr:colOff>209550</xdr:colOff>
      <xdr:row>18</xdr:row>
      <xdr:rowOff>19049</xdr:rowOff>
    </xdr:to>
    <xdr:sp macro="" textlink="">
      <xdr:nvSpPr>
        <xdr:cNvPr id="21" name="Rectangle: Rounded Corners 20">
          <a:hlinkClick xmlns:r="http://schemas.openxmlformats.org/officeDocument/2006/relationships" r:id="rId8"/>
          <a:extLst>
            <a:ext uri="{FF2B5EF4-FFF2-40B4-BE49-F238E27FC236}">
              <a16:creationId xmlns:a16="http://schemas.microsoft.com/office/drawing/2014/main" id="{D1D0BDA6-6B14-433B-AB3E-44FF1E96C89D}"/>
            </a:ext>
          </a:extLst>
        </xdr:cNvPr>
        <xdr:cNvSpPr/>
      </xdr:nvSpPr>
      <xdr:spPr>
        <a:xfrm>
          <a:off x="47625" y="3114675"/>
          <a:ext cx="1381125" cy="333374"/>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PROFITIBILITY</a:t>
          </a:r>
        </a:p>
      </xdr:txBody>
    </xdr:sp>
    <xdr:clientData/>
  </xdr:twoCellAnchor>
  <xdr:twoCellAnchor>
    <xdr:from>
      <xdr:col>0</xdr:col>
      <xdr:colOff>66675</xdr:colOff>
      <xdr:row>18</xdr:row>
      <xdr:rowOff>133349</xdr:rowOff>
    </xdr:from>
    <xdr:to>
      <xdr:col>2</xdr:col>
      <xdr:colOff>219075</xdr:colOff>
      <xdr:row>20</xdr:row>
      <xdr:rowOff>85725</xdr:rowOff>
    </xdr:to>
    <xdr:sp macro="" textlink="">
      <xdr:nvSpPr>
        <xdr:cNvPr id="22" name="Rectangle: Rounded Corners 21">
          <a:hlinkClick xmlns:r="http://schemas.openxmlformats.org/officeDocument/2006/relationships" r:id="rId9"/>
          <a:extLst>
            <a:ext uri="{FF2B5EF4-FFF2-40B4-BE49-F238E27FC236}">
              <a16:creationId xmlns:a16="http://schemas.microsoft.com/office/drawing/2014/main" id="{5357F740-529D-4E9F-8746-AFB5F21F4BBC}"/>
            </a:ext>
          </a:extLst>
        </xdr:cNvPr>
        <xdr:cNvSpPr/>
      </xdr:nvSpPr>
      <xdr:spPr>
        <a:xfrm>
          <a:off x="66675" y="3562349"/>
          <a:ext cx="1371600" cy="333376"/>
        </a:xfrm>
        <a:prstGeom prst="roundRect">
          <a:avLst>
            <a:gd name="adj" fmla="val 34849"/>
          </a:avLst>
        </a:prstGeom>
        <a:solidFill>
          <a:srgbClr val="FFF8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CUSTOMER</a:t>
          </a:r>
          <a:r>
            <a:rPr lang="en-US" sz="900" b="1" baseline="0">
              <a:solidFill>
                <a:srgbClr val="6B4E3D"/>
              </a:solidFill>
            </a:rPr>
            <a:t> , PAYMENT</a:t>
          </a:r>
          <a:endParaRPr lang="en-US" sz="900" b="1">
            <a:solidFill>
              <a:srgbClr val="6B4E3D"/>
            </a:solidFill>
          </a:endParaRPr>
        </a:p>
      </xdr:txBody>
    </xdr:sp>
    <xdr:clientData/>
  </xdr:twoCellAnchor>
  <xdr:twoCellAnchor>
    <xdr:from>
      <xdr:col>0</xdr:col>
      <xdr:colOff>66675</xdr:colOff>
      <xdr:row>21</xdr:row>
      <xdr:rowOff>0</xdr:rowOff>
    </xdr:from>
    <xdr:to>
      <xdr:col>2</xdr:col>
      <xdr:colOff>228600</xdr:colOff>
      <xdr:row>22</xdr:row>
      <xdr:rowOff>142874</xdr:rowOff>
    </xdr:to>
    <xdr:sp macro="" textlink="">
      <xdr:nvSpPr>
        <xdr:cNvPr id="23" name="Rectangle: Rounded Corners 22">
          <a:hlinkClick xmlns:r="http://schemas.openxmlformats.org/officeDocument/2006/relationships" r:id="rId10"/>
          <a:extLst>
            <a:ext uri="{FF2B5EF4-FFF2-40B4-BE49-F238E27FC236}">
              <a16:creationId xmlns:a16="http://schemas.microsoft.com/office/drawing/2014/main" id="{9A80848D-A3B6-4DAC-9BB0-D9CD906939A8}"/>
            </a:ext>
          </a:extLst>
        </xdr:cNvPr>
        <xdr:cNvSpPr/>
      </xdr:nvSpPr>
      <xdr:spPr>
        <a:xfrm>
          <a:off x="66675" y="4000500"/>
          <a:ext cx="1381125" cy="333374"/>
        </a:xfrm>
        <a:prstGeom prst="roundRect">
          <a:avLst>
            <a:gd name="adj" fmla="val 34849"/>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6B4E3D"/>
              </a:solidFill>
            </a:rPr>
            <a:t>KEY</a:t>
          </a:r>
          <a:r>
            <a:rPr lang="en-US" sz="900" b="1" baseline="0">
              <a:solidFill>
                <a:srgbClr val="6B4E3D"/>
              </a:solidFill>
            </a:rPr>
            <a:t> INSIGHT'S</a:t>
          </a:r>
          <a:endParaRPr lang="en-US" sz="900" b="1">
            <a:solidFill>
              <a:srgbClr val="6B4E3D"/>
            </a:solidFill>
          </a:endParaRPr>
        </a:p>
      </xdr:txBody>
    </xdr:sp>
    <xdr:clientData/>
  </xdr:twoCellAnchor>
  <xdr:twoCellAnchor>
    <xdr:from>
      <xdr:col>2</xdr:col>
      <xdr:colOff>504825</xdr:colOff>
      <xdr:row>5</xdr:row>
      <xdr:rowOff>47626</xdr:rowOff>
    </xdr:from>
    <xdr:to>
      <xdr:col>20</xdr:col>
      <xdr:colOff>314325</xdr:colOff>
      <xdr:row>29</xdr:row>
      <xdr:rowOff>9526</xdr:rowOff>
    </xdr:to>
    <xdr:sp macro="" textlink="">
      <xdr:nvSpPr>
        <xdr:cNvPr id="24" name="Rectangle 23">
          <a:extLst>
            <a:ext uri="{FF2B5EF4-FFF2-40B4-BE49-F238E27FC236}">
              <a16:creationId xmlns:a16="http://schemas.microsoft.com/office/drawing/2014/main" id="{8CA8E88E-F008-4B0E-B6DD-48AFE9FF5476}"/>
            </a:ext>
          </a:extLst>
        </xdr:cNvPr>
        <xdr:cNvSpPr/>
      </xdr:nvSpPr>
      <xdr:spPr>
        <a:xfrm>
          <a:off x="1724025" y="1000126"/>
          <a:ext cx="10782300" cy="45339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rgbClr val="6B4E3D"/>
              </a:solidFill>
            </a:rPr>
            <a:t>INSIGHT'S FROM THE DATA</a:t>
          </a:r>
          <a:r>
            <a:rPr lang="en-US" sz="1100" b="0" u="none">
              <a:solidFill>
                <a:srgbClr val="6B4E3D"/>
              </a:solidFill>
            </a:rPr>
            <a:t> -</a:t>
          </a:r>
        </a:p>
        <a:p>
          <a:pPr algn="l"/>
          <a:r>
            <a:rPr lang="en-US" sz="1100" b="0" u="none">
              <a:solidFill>
                <a:srgbClr val="6B4E3D"/>
              </a:solidFill>
            </a:rPr>
            <a:t> </a:t>
          </a:r>
        </a:p>
        <a:p>
          <a:pPr algn="l"/>
          <a:r>
            <a:rPr lang="en-US" sz="1100" b="0" u="none">
              <a:solidFill>
                <a:srgbClr val="6B4E3D"/>
              </a:solidFill>
            </a:rPr>
            <a:t>1. </a:t>
          </a:r>
          <a:r>
            <a:rPr lang="en-US">
              <a:solidFill>
                <a:srgbClr val="6B4E3D"/>
              </a:solidFill>
            </a:rPr>
            <a:t>In </a:t>
          </a:r>
          <a:r>
            <a:rPr lang="en-US" b="1">
              <a:solidFill>
                <a:srgbClr val="6B4E3D"/>
              </a:solidFill>
            </a:rPr>
            <a:t>2025</a:t>
          </a:r>
          <a:r>
            <a:rPr lang="en-US">
              <a:solidFill>
                <a:srgbClr val="6B4E3D"/>
              </a:solidFill>
            </a:rPr>
            <a:t>, BrewHeaven Coffee Shop earned a </a:t>
          </a:r>
          <a:r>
            <a:rPr lang="en-US" b="1">
              <a:solidFill>
                <a:srgbClr val="6B4E3D"/>
              </a:solidFill>
            </a:rPr>
            <a:t>total annual revenue of ₹3.3 lakh</a:t>
          </a:r>
          <a:r>
            <a:rPr lang="en-US">
              <a:solidFill>
                <a:srgbClr val="6B4E3D"/>
              </a:solidFill>
            </a:rPr>
            <a:t> and sold </a:t>
          </a:r>
          <a:r>
            <a:rPr lang="en-US" b="1">
              <a:solidFill>
                <a:srgbClr val="6B4E3D"/>
              </a:solidFill>
            </a:rPr>
            <a:t>about 2,186 items.</a:t>
          </a:r>
        </a:p>
        <a:p>
          <a:pPr algn="l"/>
          <a:r>
            <a:rPr lang="en-US">
              <a:solidFill>
                <a:srgbClr val="6B4E3D"/>
              </a:solidFill>
            </a:rPr>
            <a:t>2. </a:t>
          </a:r>
          <a:r>
            <a:rPr lang="en-US" b="1">
              <a:solidFill>
                <a:srgbClr val="6B4E3D"/>
              </a:solidFill>
            </a:rPr>
            <a:t>January (₹31K)</a:t>
          </a:r>
          <a:r>
            <a:rPr lang="en-US">
              <a:solidFill>
                <a:srgbClr val="6B4E3D"/>
              </a:solidFill>
            </a:rPr>
            <a:t> and </a:t>
          </a:r>
          <a:r>
            <a:rPr lang="en-US" b="1">
              <a:solidFill>
                <a:srgbClr val="6B4E3D"/>
              </a:solidFill>
            </a:rPr>
            <a:t>June (₹30.5K)</a:t>
          </a:r>
          <a:r>
            <a:rPr lang="en-US">
              <a:solidFill>
                <a:srgbClr val="6B4E3D"/>
              </a:solidFill>
            </a:rPr>
            <a:t> had the </a:t>
          </a:r>
          <a:r>
            <a:rPr lang="en-US" b="1">
              <a:solidFill>
                <a:srgbClr val="6B4E3D"/>
              </a:solidFill>
            </a:rPr>
            <a:t>highest revenue</a:t>
          </a:r>
          <a:r>
            <a:rPr lang="en-US">
              <a:solidFill>
                <a:srgbClr val="6B4E3D"/>
              </a:solidFill>
            </a:rPr>
            <a:t>, while </a:t>
          </a:r>
          <a:r>
            <a:rPr lang="en-US" b="1">
              <a:solidFill>
                <a:srgbClr val="6B4E3D"/>
              </a:solidFill>
            </a:rPr>
            <a:t>April (₹22.1K)</a:t>
          </a:r>
          <a:r>
            <a:rPr lang="en-US">
              <a:solidFill>
                <a:srgbClr val="6B4E3D"/>
              </a:solidFill>
            </a:rPr>
            <a:t> and </a:t>
          </a:r>
          <a:r>
            <a:rPr lang="en-US" b="1">
              <a:solidFill>
                <a:srgbClr val="6B4E3D"/>
              </a:solidFill>
            </a:rPr>
            <a:t>November (₹21.3K)</a:t>
          </a:r>
          <a:r>
            <a:rPr lang="en-US">
              <a:solidFill>
                <a:srgbClr val="6B4E3D"/>
              </a:solidFill>
            </a:rPr>
            <a:t> had the </a:t>
          </a:r>
          <a:r>
            <a:rPr lang="en-US" b="1">
              <a:solidFill>
                <a:srgbClr val="6B4E3D"/>
              </a:solidFill>
            </a:rPr>
            <a:t>lowest</a:t>
          </a:r>
          <a:r>
            <a:rPr lang="en-US">
              <a:solidFill>
                <a:srgbClr val="6B4E3D"/>
              </a:solidFill>
            </a:rPr>
            <a:t>.</a:t>
          </a:r>
        </a:p>
        <a:p>
          <a:pPr algn="l"/>
          <a:r>
            <a:rPr lang="en-US" sz="1100" b="0" u="none">
              <a:solidFill>
                <a:srgbClr val="6B4E3D"/>
              </a:solidFill>
            </a:rPr>
            <a:t>3. </a:t>
          </a:r>
          <a:r>
            <a:rPr lang="en-US" b="1">
              <a:solidFill>
                <a:srgbClr val="6B4E3D"/>
              </a:solidFill>
            </a:rPr>
            <a:t>Branch 2</a:t>
          </a:r>
          <a:r>
            <a:rPr lang="en-US">
              <a:solidFill>
                <a:srgbClr val="6B4E3D"/>
              </a:solidFill>
            </a:rPr>
            <a:t> earned the </a:t>
          </a:r>
          <a:r>
            <a:rPr lang="en-US" b="1">
              <a:solidFill>
                <a:srgbClr val="6B4E3D"/>
              </a:solidFill>
            </a:rPr>
            <a:t>highest revenue (₹50.8K)</a:t>
          </a:r>
          <a:r>
            <a:rPr lang="en-US">
              <a:solidFill>
                <a:srgbClr val="6B4E3D"/>
              </a:solidFill>
            </a:rPr>
            <a:t>, followed by </a:t>
          </a:r>
          <a:r>
            <a:rPr lang="en-US" b="1">
              <a:solidFill>
                <a:srgbClr val="6B4E3D"/>
              </a:solidFill>
            </a:rPr>
            <a:t>Branch 3 (₹48.7K)</a:t>
          </a:r>
          <a:r>
            <a:rPr lang="en-US">
              <a:solidFill>
                <a:srgbClr val="6B4E3D"/>
              </a:solidFill>
            </a:rPr>
            <a:t> and </a:t>
          </a:r>
          <a:r>
            <a:rPr lang="en-US" b="1">
              <a:solidFill>
                <a:srgbClr val="6B4E3D"/>
              </a:solidFill>
            </a:rPr>
            <a:t>Branch 6 (₹47.1K)</a:t>
          </a:r>
          <a:r>
            <a:rPr lang="en-US">
              <a:solidFill>
                <a:srgbClr val="6B4E3D"/>
              </a:solidFill>
            </a:rPr>
            <a:t>.</a:t>
          </a:r>
          <a:r>
            <a:rPr lang="en-US" baseline="0">
              <a:solidFill>
                <a:srgbClr val="6B4E3D"/>
              </a:solidFill>
            </a:rPr>
            <a:t>  </a:t>
          </a:r>
          <a:r>
            <a:rPr lang="en-US" b="1">
              <a:solidFill>
                <a:srgbClr val="6B4E3D"/>
              </a:solidFill>
            </a:rPr>
            <a:t>Branch 1 (₹31.7K)</a:t>
          </a:r>
          <a:r>
            <a:rPr lang="en-US">
              <a:solidFill>
                <a:srgbClr val="6B4E3D"/>
              </a:solidFill>
            </a:rPr>
            <a:t> and </a:t>
          </a:r>
          <a:r>
            <a:rPr lang="en-US" b="1">
              <a:solidFill>
                <a:srgbClr val="6B4E3D"/>
              </a:solidFill>
            </a:rPr>
            <a:t>Branch 5 (₹36.9K)</a:t>
          </a:r>
          <a:r>
            <a:rPr lang="en-US">
              <a:solidFill>
                <a:srgbClr val="6B4E3D"/>
              </a:solidFill>
            </a:rPr>
            <a:t> earned the </a:t>
          </a:r>
          <a:r>
            <a:rPr lang="en-US" b="1">
              <a:solidFill>
                <a:srgbClr val="6B4E3D"/>
              </a:solidFill>
            </a:rPr>
            <a:t>least</a:t>
          </a:r>
          <a:r>
            <a:rPr lang="en-US" b="0" baseline="0">
              <a:solidFill>
                <a:srgbClr val="6B4E3D"/>
              </a:solidFill>
            </a:rPr>
            <a:t> </a:t>
          </a:r>
          <a:r>
            <a:rPr lang="en-US" sz="1100" b="1">
              <a:solidFill>
                <a:srgbClr val="6B4E3D"/>
              </a:solidFill>
              <a:effectLst/>
              <a:latin typeface="+mn-lt"/>
              <a:ea typeface="+mn-ea"/>
              <a:cs typeface="+mn-cs"/>
            </a:rPr>
            <a:t>revenue .</a:t>
          </a:r>
        </a:p>
        <a:p>
          <a:pPr algn="l"/>
          <a:r>
            <a:rPr lang="en-US" sz="1100" b="1" u="none">
              <a:solidFill>
                <a:srgbClr val="6B4E3D"/>
              </a:solidFill>
              <a:effectLst/>
              <a:latin typeface="+mn-lt"/>
              <a:ea typeface="+mn-ea"/>
              <a:cs typeface="+mn-cs"/>
            </a:rPr>
            <a:t>4. </a:t>
          </a:r>
          <a:r>
            <a:rPr lang="en-US" b="1">
              <a:solidFill>
                <a:srgbClr val="6B4E3D"/>
              </a:solidFill>
            </a:rPr>
            <a:t>Uptown (₹67.4K)</a:t>
          </a:r>
          <a:r>
            <a:rPr lang="en-US">
              <a:solidFill>
                <a:srgbClr val="6B4E3D"/>
              </a:solidFill>
            </a:rPr>
            <a:t> and </a:t>
          </a:r>
          <a:r>
            <a:rPr lang="en-US" b="1">
              <a:solidFill>
                <a:srgbClr val="6B4E3D"/>
              </a:solidFill>
            </a:rPr>
            <a:t>Midtown (₹67K)</a:t>
          </a:r>
          <a:r>
            <a:rPr lang="en-US">
              <a:solidFill>
                <a:srgbClr val="6B4E3D"/>
              </a:solidFill>
            </a:rPr>
            <a:t> regions ranked </a:t>
          </a:r>
          <a:r>
            <a:rPr lang="en-US" b="1">
              <a:solidFill>
                <a:srgbClr val="6B4E3D"/>
              </a:solidFill>
            </a:rPr>
            <a:t>1st and 2nd</a:t>
          </a:r>
          <a:r>
            <a:rPr lang="en-US">
              <a:solidFill>
                <a:srgbClr val="6B4E3D"/>
              </a:solidFill>
            </a:rPr>
            <a:t> in total revenue.</a:t>
          </a:r>
          <a:r>
            <a:rPr lang="en-US" baseline="0">
              <a:solidFill>
                <a:srgbClr val="6B4E3D"/>
              </a:solidFill>
            </a:rPr>
            <a:t> </a:t>
          </a:r>
          <a:r>
            <a:rPr lang="en-US" b="1">
              <a:solidFill>
                <a:srgbClr val="6B4E3D"/>
              </a:solidFill>
            </a:rPr>
            <a:t>Downtown (₹52.7K)</a:t>
          </a:r>
          <a:r>
            <a:rPr lang="en-US">
              <a:solidFill>
                <a:srgbClr val="6B4E3D"/>
              </a:solidFill>
            </a:rPr>
            <a:t> earned the </a:t>
          </a:r>
          <a:r>
            <a:rPr lang="en-US" b="1">
              <a:solidFill>
                <a:srgbClr val="6B4E3D"/>
              </a:solidFill>
            </a:rPr>
            <a:t>lowest</a:t>
          </a:r>
          <a:r>
            <a:rPr lang="en-US">
              <a:solidFill>
                <a:srgbClr val="6B4E3D"/>
              </a:solidFill>
            </a:rPr>
            <a:t>.</a:t>
          </a:r>
        </a:p>
        <a:p>
          <a:pPr algn="l"/>
          <a:r>
            <a:rPr lang="en-US" sz="1100" b="0" u="none">
              <a:solidFill>
                <a:srgbClr val="6B4E3D"/>
              </a:solidFill>
            </a:rPr>
            <a:t>5.</a:t>
          </a:r>
          <a:r>
            <a:rPr lang="en-US" b="1">
              <a:solidFill>
                <a:srgbClr val="6B4E3D"/>
              </a:solidFill>
            </a:rPr>
            <a:t>Top 3 products</a:t>
          </a:r>
          <a:r>
            <a:rPr lang="en-US">
              <a:solidFill>
                <a:srgbClr val="6B4E3D"/>
              </a:solidFill>
            </a:rPr>
            <a:t>: </a:t>
          </a:r>
        </a:p>
        <a:p>
          <a:r>
            <a:rPr lang="en-US" sz="1100" b="0" u="none">
              <a:solidFill>
                <a:srgbClr val="6B4E3D"/>
              </a:solidFill>
            </a:rPr>
            <a:t>      </a:t>
          </a:r>
          <a:r>
            <a:rPr lang="en-US">
              <a:solidFill>
                <a:srgbClr val="6B4E3D"/>
              </a:solidFill>
            </a:rPr>
            <a:t>Cupcake – 158 sold, ₹21.7K revenue</a:t>
          </a:r>
        </a:p>
        <a:p>
          <a:r>
            <a:rPr lang="en-US" baseline="0">
              <a:solidFill>
                <a:srgbClr val="6B4E3D"/>
              </a:solidFill>
            </a:rPr>
            <a:t>      </a:t>
          </a:r>
          <a:r>
            <a:rPr lang="en-US">
              <a:solidFill>
                <a:srgbClr val="6B4E3D"/>
              </a:solidFill>
            </a:rPr>
            <a:t>Smoothie – 137 sold, ₹16.8K revenue          </a:t>
          </a:r>
        </a:p>
        <a:p>
          <a:r>
            <a:rPr lang="en-US">
              <a:solidFill>
                <a:srgbClr val="6B4E3D"/>
              </a:solidFill>
            </a:rPr>
            <a:t>      Donut – 126 sold, ₹17.4K revenue</a:t>
          </a:r>
        </a:p>
        <a:p>
          <a:pPr algn="l"/>
          <a:r>
            <a:rPr lang="en-US" sz="1100" b="0" u="none">
              <a:solidFill>
                <a:srgbClr val="6B4E3D"/>
              </a:solidFill>
            </a:rPr>
            <a:t>6.</a:t>
          </a:r>
          <a:r>
            <a:rPr lang="en-US" sz="1100" b="0" u="none" baseline="0">
              <a:solidFill>
                <a:srgbClr val="6B4E3D"/>
              </a:solidFill>
            </a:rPr>
            <a:t> </a:t>
          </a:r>
          <a:r>
            <a:rPr lang="en-US" b="1">
              <a:solidFill>
                <a:srgbClr val="6B4E3D"/>
              </a:solidFill>
            </a:rPr>
            <a:t>Bottom 3 products</a:t>
          </a:r>
          <a:r>
            <a:rPr lang="en-US">
              <a:solidFill>
                <a:srgbClr val="6B4E3D"/>
              </a:solidFill>
            </a:rPr>
            <a:t>:</a:t>
          </a:r>
        </a:p>
        <a:p>
          <a:r>
            <a:rPr lang="en-US" sz="1100" b="0" u="none">
              <a:solidFill>
                <a:srgbClr val="6B4E3D"/>
              </a:solidFill>
            </a:rPr>
            <a:t>       </a:t>
          </a:r>
          <a:r>
            <a:rPr lang="en-US">
              <a:solidFill>
                <a:srgbClr val="6B4E3D"/>
              </a:solidFill>
            </a:rPr>
            <a:t>Herbal Tea – 72 sold, ₹9.5K revenue</a:t>
          </a:r>
        </a:p>
        <a:p>
          <a:r>
            <a:rPr lang="en-US">
              <a:solidFill>
                <a:srgbClr val="6B4E3D"/>
              </a:solidFill>
            </a:rPr>
            <a:t>       Sandwich – 72 sold, ₹8.53K revenue</a:t>
          </a:r>
        </a:p>
        <a:p>
          <a:r>
            <a:rPr lang="en-US">
              <a:solidFill>
                <a:srgbClr val="6B4E3D"/>
              </a:solidFill>
            </a:rPr>
            <a:t>       Mocha – 43 sold, ₹5.17K revenue</a:t>
          </a:r>
        </a:p>
        <a:p>
          <a:r>
            <a:rPr lang="en-US">
              <a:solidFill>
                <a:srgbClr val="6B4E3D"/>
              </a:solidFill>
            </a:rPr>
            <a:t>7. </a:t>
          </a:r>
          <a:r>
            <a:rPr lang="en-US" b="1">
              <a:solidFill>
                <a:srgbClr val="6B4E3D"/>
              </a:solidFill>
            </a:rPr>
            <a:t>Best category</a:t>
          </a:r>
          <a:r>
            <a:rPr lang="en-US">
              <a:solidFill>
                <a:srgbClr val="6B4E3D"/>
              </a:solidFill>
            </a:rPr>
            <a:t>: Desserts (₹68.7K), followed by </a:t>
          </a:r>
          <a:r>
            <a:rPr lang="en-US" b="1">
              <a:solidFill>
                <a:srgbClr val="6B4E3D"/>
              </a:solidFill>
            </a:rPr>
            <a:t>Tea (₹63K)</a:t>
          </a:r>
          <a:r>
            <a:rPr lang="en-US">
              <a:solidFill>
                <a:srgbClr val="6B4E3D"/>
              </a:solidFill>
            </a:rPr>
            <a:t> and </a:t>
          </a:r>
          <a:r>
            <a:rPr lang="en-US" b="1">
              <a:solidFill>
                <a:srgbClr val="6B4E3D"/>
              </a:solidFill>
            </a:rPr>
            <a:t>Cold Beverages (₹61K)</a:t>
          </a:r>
          <a:r>
            <a:rPr lang="en-US">
              <a:solidFill>
                <a:srgbClr val="6B4E3D"/>
              </a:solidFill>
            </a:rPr>
            <a:t>.</a:t>
          </a:r>
          <a:r>
            <a:rPr lang="en-US" baseline="0">
              <a:solidFill>
                <a:srgbClr val="6B4E3D"/>
              </a:solidFill>
            </a:rPr>
            <a:t>  </a:t>
          </a:r>
          <a:r>
            <a:rPr lang="en-US" b="1">
              <a:solidFill>
                <a:srgbClr val="6B4E3D"/>
              </a:solidFill>
            </a:rPr>
            <a:t>Lowest category</a:t>
          </a:r>
          <a:r>
            <a:rPr lang="en-US">
              <a:solidFill>
                <a:srgbClr val="6B4E3D"/>
              </a:solidFill>
            </a:rPr>
            <a:t>: Coffee (₹53.1K).</a:t>
          </a:r>
        </a:p>
        <a:p>
          <a:r>
            <a:rPr lang="en-US">
              <a:solidFill>
                <a:srgbClr val="6B4E3D"/>
              </a:solidFill>
            </a:rPr>
            <a:t>8. The </a:t>
          </a:r>
          <a:r>
            <a:rPr lang="en-US" b="1">
              <a:solidFill>
                <a:srgbClr val="6B4E3D"/>
              </a:solidFill>
            </a:rPr>
            <a:t>total annual profit</a:t>
          </a:r>
          <a:r>
            <a:rPr lang="en-US">
              <a:solidFill>
                <a:srgbClr val="6B4E3D"/>
              </a:solidFill>
            </a:rPr>
            <a:t> was </a:t>
          </a:r>
          <a:r>
            <a:rPr lang="en-US" b="1">
              <a:solidFill>
                <a:srgbClr val="6B4E3D"/>
              </a:solidFill>
            </a:rPr>
            <a:t>₹1.8 lakh</a:t>
          </a:r>
          <a:r>
            <a:rPr lang="en-US">
              <a:solidFill>
                <a:srgbClr val="6B4E3D"/>
              </a:solidFill>
            </a:rPr>
            <a:t>, with an </a:t>
          </a:r>
          <a:r>
            <a:rPr lang="en-US" b="1">
              <a:solidFill>
                <a:srgbClr val="6B4E3D"/>
              </a:solidFill>
            </a:rPr>
            <a:t>average profit per sale</a:t>
          </a:r>
          <a:r>
            <a:rPr lang="en-US">
              <a:solidFill>
                <a:srgbClr val="6B4E3D"/>
              </a:solidFill>
            </a:rPr>
            <a:t> of </a:t>
          </a:r>
          <a:r>
            <a:rPr lang="en-US" b="1">
              <a:solidFill>
                <a:srgbClr val="6B4E3D"/>
              </a:solidFill>
            </a:rPr>
            <a:t>₹315</a:t>
          </a:r>
          <a:r>
            <a:rPr lang="en-US">
              <a:solidFill>
                <a:srgbClr val="6B4E3D"/>
              </a:solidFill>
            </a:rPr>
            <a:t>.</a:t>
          </a:r>
        </a:p>
        <a:p>
          <a:r>
            <a:rPr lang="en-US">
              <a:solidFill>
                <a:srgbClr val="6B4E3D"/>
              </a:solidFill>
            </a:rPr>
            <a:t>9.</a:t>
          </a:r>
          <a:r>
            <a:rPr lang="en-US" b="1">
              <a:solidFill>
                <a:srgbClr val="6B4E3D"/>
              </a:solidFill>
            </a:rPr>
            <a:t>Tea Category</a:t>
          </a:r>
          <a:r>
            <a:rPr lang="en-US">
              <a:solidFill>
                <a:srgbClr val="6B4E3D"/>
              </a:solidFill>
            </a:rPr>
            <a:t> gave the </a:t>
          </a:r>
          <a:r>
            <a:rPr lang="en-US" b="1">
              <a:solidFill>
                <a:srgbClr val="6B4E3D"/>
              </a:solidFill>
            </a:rPr>
            <a:t>highest profit (₹48.9K)</a:t>
          </a:r>
          <a:r>
            <a:rPr lang="en-US">
              <a:solidFill>
                <a:srgbClr val="6B4E3D"/>
              </a:solidFill>
            </a:rPr>
            <a:t>, followed by </a:t>
          </a:r>
          <a:r>
            <a:rPr lang="en-US" b="1">
              <a:solidFill>
                <a:srgbClr val="6B4E3D"/>
              </a:solidFill>
            </a:rPr>
            <a:t>Desserts Category (₹41.3K)</a:t>
          </a:r>
          <a:r>
            <a:rPr lang="en-US">
              <a:solidFill>
                <a:srgbClr val="6B4E3D"/>
              </a:solidFill>
            </a:rPr>
            <a:t>.  </a:t>
          </a:r>
          <a:r>
            <a:rPr lang="en-US" b="1">
              <a:solidFill>
                <a:srgbClr val="6B4E3D"/>
              </a:solidFill>
            </a:rPr>
            <a:t>Snacks</a:t>
          </a:r>
          <a:r>
            <a:rPr lang="en-US">
              <a:solidFill>
                <a:srgbClr val="6B4E3D"/>
              </a:solidFill>
            </a:rPr>
            <a:t> gave the </a:t>
          </a:r>
          <a:r>
            <a:rPr lang="en-US" b="1">
              <a:solidFill>
                <a:srgbClr val="6B4E3D"/>
              </a:solidFill>
            </a:rPr>
            <a:t>lowest profit (₹25.8K)</a:t>
          </a:r>
          <a:r>
            <a:rPr lang="en-US">
              <a:solidFill>
                <a:srgbClr val="6B4E3D"/>
              </a:solidFill>
            </a:rPr>
            <a:t>.</a:t>
          </a:r>
        </a:p>
        <a:p>
          <a:r>
            <a:rPr lang="en-US">
              <a:solidFill>
                <a:srgbClr val="6B4E3D"/>
              </a:solidFill>
            </a:rPr>
            <a:t>10. </a:t>
          </a:r>
          <a:r>
            <a:rPr lang="en-US" b="1">
              <a:solidFill>
                <a:srgbClr val="6B4E3D"/>
              </a:solidFill>
            </a:rPr>
            <a:t>Branches 4, 6, and 7</a:t>
          </a:r>
          <a:r>
            <a:rPr lang="en-US">
              <a:solidFill>
                <a:srgbClr val="6B4E3D"/>
              </a:solidFill>
            </a:rPr>
            <a:t> had the </a:t>
          </a:r>
          <a:r>
            <a:rPr lang="en-US" b="1">
              <a:solidFill>
                <a:srgbClr val="6B4E3D"/>
              </a:solidFill>
            </a:rPr>
            <a:t>best profit-to-revenue ratio (15%)</a:t>
          </a:r>
          <a:r>
            <a:rPr lang="en-US">
              <a:solidFill>
                <a:srgbClr val="6B4E3D"/>
              </a:solidFill>
            </a:rPr>
            <a:t>, followed by </a:t>
          </a:r>
          <a:r>
            <a:rPr lang="en-US" b="1">
              <a:solidFill>
                <a:srgbClr val="6B4E3D"/>
              </a:solidFill>
            </a:rPr>
            <a:t>Branches 1, 2, and 5 (14%) </a:t>
          </a:r>
        </a:p>
        <a:p>
          <a:r>
            <a:rPr lang="en-US" b="1">
              <a:solidFill>
                <a:srgbClr val="6B4E3D"/>
              </a:solidFill>
            </a:rPr>
            <a:t>11. </a:t>
          </a:r>
          <a:r>
            <a:rPr lang="en-US">
              <a:solidFill>
                <a:srgbClr val="6B4E3D"/>
              </a:solidFill>
            </a:rPr>
            <a:t>When </a:t>
          </a:r>
          <a:r>
            <a:rPr lang="en-US" b="1">
              <a:solidFill>
                <a:srgbClr val="6B4E3D"/>
              </a:solidFill>
            </a:rPr>
            <a:t>discounts were given</a:t>
          </a:r>
          <a:r>
            <a:rPr lang="en-US">
              <a:solidFill>
                <a:srgbClr val="6B4E3D"/>
              </a:solidFill>
            </a:rPr>
            <a:t>, about </a:t>
          </a:r>
          <a:r>
            <a:rPr lang="en-US" b="1">
              <a:solidFill>
                <a:srgbClr val="6B4E3D"/>
              </a:solidFill>
            </a:rPr>
            <a:t>1,500 items sold</a:t>
          </a:r>
          <a:r>
            <a:rPr lang="en-US">
              <a:solidFill>
                <a:srgbClr val="6B4E3D"/>
              </a:solidFill>
            </a:rPr>
            <a:t>, earning </a:t>
          </a:r>
          <a:r>
            <a:rPr lang="en-US" b="1">
              <a:solidFill>
                <a:srgbClr val="6B4E3D"/>
              </a:solidFill>
            </a:rPr>
            <a:t>₹2.8 lakh revenue</a:t>
          </a:r>
          <a:r>
            <a:rPr lang="en-US">
              <a:solidFill>
                <a:srgbClr val="6B4E3D"/>
              </a:solidFill>
            </a:rPr>
            <a:t> and </a:t>
          </a:r>
          <a:r>
            <a:rPr lang="en-US" b="1">
              <a:solidFill>
                <a:srgbClr val="6B4E3D"/>
              </a:solidFill>
            </a:rPr>
            <a:t>₹1.22 lakh profit</a:t>
          </a:r>
          <a:r>
            <a:rPr lang="en-US">
              <a:solidFill>
                <a:srgbClr val="6B4E3D"/>
              </a:solidFill>
            </a:rPr>
            <a:t>.</a:t>
          </a:r>
          <a:r>
            <a:rPr lang="en-US" baseline="0">
              <a:solidFill>
                <a:srgbClr val="6B4E3D"/>
              </a:solidFill>
            </a:rPr>
            <a:t>  </a:t>
          </a:r>
          <a:r>
            <a:rPr lang="en-US">
              <a:solidFill>
                <a:srgbClr val="6B4E3D"/>
              </a:solidFill>
            </a:rPr>
            <a:t>Without discounts, only </a:t>
          </a:r>
          <a:r>
            <a:rPr lang="en-US" b="1">
              <a:solidFill>
                <a:srgbClr val="6B4E3D"/>
              </a:solidFill>
            </a:rPr>
            <a:t>642 items sold</a:t>
          </a:r>
          <a:r>
            <a:rPr lang="en-US">
              <a:solidFill>
                <a:srgbClr val="6B4E3D"/>
              </a:solidFill>
            </a:rPr>
            <a:t>, making </a:t>
          </a:r>
          <a:r>
            <a:rPr lang="en-US" b="1">
              <a:solidFill>
                <a:srgbClr val="6B4E3D"/>
              </a:solidFill>
            </a:rPr>
            <a:t>₹94.4K revenue</a:t>
          </a:r>
          <a:r>
            <a:rPr lang="en-US">
              <a:solidFill>
                <a:srgbClr val="6B4E3D"/>
              </a:solidFill>
            </a:rPr>
            <a:t> and </a:t>
          </a:r>
          <a:r>
            <a:rPr lang="en-US" b="1">
              <a:solidFill>
                <a:srgbClr val="6B4E3D"/>
              </a:solidFill>
            </a:rPr>
            <a:t>₹60K profit</a:t>
          </a:r>
          <a:r>
            <a:rPr lang="en-US">
              <a:solidFill>
                <a:srgbClr val="6B4E3D"/>
              </a:solidFill>
            </a:rPr>
            <a:t>.  that means Sales, revenue, and profit </a:t>
          </a:r>
          <a:r>
            <a:rPr lang="en-US" b="1">
              <a:solidFill>
                <a:srgbClr val="6B4E3D"/>
              </a:solidFill>
            </a:rPr>
            <a:t>doubled with discounts</a:t>
          </a:r>
          <a:r>
            <a:rPr lang="en-US">
              <a:solidFill>
                <a:srgbClr val="6B4E3D"/>
              </a:solidFill>
            </a:rPr>
            <a:t>.</a:t>
          </a:r>
        </a:p>
        <a:p>
          <a:r>
            <a:rPr lang="en-US">
              <a:solidFill>
                <a:srgbClr val="6B4E3D"/>
              </a:solidFill>
            </a:rPr>
            <a:t>12. Customers preferred to pay by </a:t>
          </a:r>
          <a:r>
            <a:rPr lang="en-US" b="1">
              <a:solidFill>
                <a:srgbClr val="6B4E3D"/>
              </a:solidFill>
            </a:rPr>
            <a:t>Cash (36%)</a:t>
          </a:r>
          <a:r>
            <a:rPr lang="en-US">
              <a:solidFill>
                <a:srgbClr val="6B4E3D"/>
              </a:solidFill>
            </a:rPr>
            <a:t>, followed by </a:t>
          </a:r>
          <a:r>
            <a:rPr lang="en-US" b="1">
              <a:solidFill>
                <a:srgbClr val="6B4E3D"/>
              </a:solidFill>
            </a:rPr>
            <a:t>UPI (34%)</a:t>
          </a:r>
          <a:r>
            <a:rPr lang="en-US">
              <a:solidFill>
                <a:srgbClr val="6B4E3D"/>
              </a:solidFill>
            </a:rPr>
            <a:t> and </a:t>
          </a:r>
          <a:r>
            <a:rPr lang="en-US" b="1">
              <a:solidFill>
                <a:srgbClr val="6B4E3D"/>
              </a:solidFill>
            </a:rPr>
            <a:t>Card (30%)</a:t>
          </a:r>
          <a:r>
            <a:rPr lang="en-US">
              <a:solidFill>
                <a:srgbClr val="6B4E3D"/>
              </a:solidFill>
            </a:rPr>
            <a:t>.</a:t>
          </a:r>
        </a:p>
        <a:p>
          <a:r>
            <a:rPr lang="en-US">
              <a:solidFill>
                <a:srgbClr val="6B4E3D"/>
              </a:solidFill>
            </a:rPr>
            <a:t>13. </a:t>
          </a:r>
          <a:r>
            <a:rPr lang="en-US" b="1">
              <a:solidFill>
                <a:srgbClr val="6B4E3D"/>
              </a:solidFill>
            </a:rPr>
            <a:t>Top 5 customers</a:t>
          </a:r>
          <a:r>
            <a:rPr lang="en-US">
              <a:solidFill>
                <a:srgbClr val="6B4E3D"/>
              </a:solidFill>
            </a:rPr>
            <a:t> (by total purchase):</a:t>
          </a:r>
          <a:br>
            <a:rPr lang="en-US">
              <a:solidFill>
                <a:srgbClr val="6B4E3D"/>
              </a:solidFill>
            </a:rPr>
          </a:br>
          <a:r>
            <a:rPr lang="en-US">
              <a:solidFill>
                <a:srgbClr val="6B4E3D"/>
              </a:solidFill>
            </a:rPr>
            <a:t>CUST-1389 (₹4.2K), CUST-1819 (₹3.6K), CUST-1937 (₹3.5K), CUST-1341 (₹3.3K), and CUST-1501 (₹3.1K).</a:t>
          </a:r>
        </a:p>
        <a:p>
          <a:r>
            <a:rPr lang="en-US">
              <a:solidFill>
                <a:srgbClr val="6B4E3D"/>
              </a:solidFill>
            </a:rPr>
            <a:t>14.</a:t>
          </a:r>
          <a:r>
            <a:rPr lang="en-US" b="1">
              <a:solidFill>
                <a:srgbClr val="6B4E3D"/>
              </a:solidFill>
            </a:rPr>
            <a:t>Midweek days (Tue &amp; Wed)</a:t>
          </a:r>
          <a:r>
            <a:rPr lang="en-US">
              <a:solidFill>
                <a:srgbClr val="6B4E3D"/>
              </a:solidFill>
            </a:rPr>
            <a:t> had more sales (₹97.9K) than </a:t>
          </a:r>
          <a:r>
            <a:rPr lang="en-US" b="1">
              <a:solidFill>
                <a:srgbClr val="6B4E3D"/>
              </a:solidFill>
            </a:rPr>
            <a:t>weekends (Sat &amp; Sun)</a:t>
          </a:r>
          <a:r>
            <a:rPr lang="en-US">
              <a:solidFill>
                <a:srgbClr val="6B4E3D"/>
              </a:solidFill>
            </a:rPr>
            <a:t>, which made ₹87.7K.</a:t>
          </a:r>
          <a:r>
            <a:rPr lang="en-US" baseline="0">
              <a:solidFill>
                <a:srgbClr val="6B4E3D"/>
              </a:solidFill>
            </a:rPr>
            <a:t>  </a:t>
          </a:r>
          <a:r>
            <a:rPr lang="en-US" b="1">
              <a:solidFill>
                <a:srgbClr val="6B4E3D"/>
              </a:solidFill>
            </a:rPr>
            <a:t>Mon, Thu &amp; Fri</a:t>
          </a:r>
          <a:r>
            <a:rPr lang="en-US">
              <a:solidFill>
                <a:srgbClr val="6B4E3D"/>
              </a:solidFill>
            </a:rPr>
            <a:t> together generated the </a:t>
          </a:r>
          <a:r>
            <a:rPr lang="en-US" b="1">
              <a:solidFill>
                <a:srgbClr val="6B4E3D"/>
              </a:solidFill>
            </a:rPr>
            <a:t>highest revenue of ₹1.17 lakh</a:t>
          </a:r>
          <a:r>
            <a:rPr lang="en-US">
              <a:solidFill>
                <a:srgbClr val="6B4E3D"/>
              </a:solidFill>
            </a:rPr>
            <a:t>.</a:t>
          </a:r>
        </a:p>
        <a:p>
          <a:pPr algn="l"/>
          <a:endParaRPr lang="en-US" sz="1100" b="0" u="none">
            <a:solidFill>
              <a:srgbClr val="6B4E3D"/>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ER-COMPUTERS" refreshedDate="45969.555010416669" createdVersion="7" refreshedVersion="7" minRefreshableVersion="3" recordCount="585" xr:uid="{69199A3D-8A77-4147-95FA-F0724FDEA27B}">
  <cacheSource type="worksheet">
    <worksheetSource ref="A1:Q586" sheet="Procesde Data"/>
  </cacheSource>
  <cacheFields count="20">
    <cacheField name="Date" numFmtId="164">
      <sharedItems containsSemiMixedTypes="0" containsNonDate="0" containsDate="1" containsString="0" minDate="2025-01-01T00:00:00" maxDate="2025-12-29T00:00:00"/>
    </cacheField>
    <cacheField name="Month" numFmtId="164">
      <sharedItems count="12">
        <s v="Sep"/>
        <s v="Nov"/>
        <s v="Apr"/>
        <s v="Jan"/>
        <s v="May"/>
        <s v="Mar"/>
        <s v="Aug"/>
        <s v="Jun"/>
        <s v="Dec"/>
        <s v="Oct"/>
        <s v="Feb"/>
        <s v="Jul"/>
      </sharedItems>
    </cacheField>
    <cacheField name="Day " numFmtId="164">
      <sharedItems count="7">
        <s v="Fri"/>
        <s v="Wed"/>
        <s v="Sun"/>
        <s v="Sat"/>
        <s v="Mon"/>
        <s v="Tue"/>
        <s v="Thu"/>
      </sharedItems>
    </cacheField>
    <cacheField name="Region" numFmtId="0">
      <sharedItems count="5">
        <s v="Uptown"/>
        <s v="Downtown"/>
        <s v="Beachside"/>
        <s v="Midtown"/>
        <s v="Suburb"/>
      </sharedItems>
    </cacheField>
    <cacheField name="Branch" numFmtId="0">
      <sharedItems count="7">
        <s v="Branch-4"/>
        <s v="Branch-2"/>
        <s v="Branch-5"/>
        <s v="Branch-6"/>
        <s v="Branch-7"/>
        <s v="Branch-3"/>
        <s v="Branch-1"/>
      </sharedItems>
    </cacheField>
    <cacheField name="Category" numFmtId="0">
      <sharedItems count="5">
        <s v="Coffee"/>
        <s v="Tea"/>
        <s v="Cold Beverages"/>
        <s v="Desserts"/>
        <s v="Snacks"/>
      </sharedItems>
    </cacheField>
    <cacheField name="Product Name" numFmtId="0">
      <sharedItems count="23">
        <s v="Latte"/>
        <s v="Black Tea"/>
        <s v="Cold Brew"/>
        <s v="Cheesecake"/>
        <s v="Sandwich"/>
        <s v="Smoothie"/>
        <s v="Cookie"/>
        <s v="Donut"/>
        <s v="Tiramisu"/>
        <s v="Herbal Tea"/>
        <s v="Americano"/>
        <s v="Croissant"/>
        <s v="Masala Chai"/>
        <s v="Frappe"/>
        <s v="Iced Tea"/>
        <s v="Muffin"/>
        <s v="Iced Coffee"/>
        <s v="Cupcake"/>
        <s v="Brownie"/>
        <s v="Espresso"/>
        <s v="Green Tea"/>
        <s v="Cappuccino"/>
        <s v="Mocha"/>
      </sharedItems>
    </cacheField>
    <cacheField name="Unit Sold " numFmtId="0">
      <sharedItems containsSemiMixedTypes="0" containsString="0" containsNumber="1" containsInteger="1" minValue="1" maxValue="10"/>
    </cacheField>
    <cacheField name="Cost Price /Actual Price " numFmtId="1">
      <sharedItems containsSemiMixedTypes="0" containsString="0" containsNumber="1" minValue="10" maxValue="112.5"/>
    </cacheField>
    <cacheField name="Unit Price / Market Price" numFmtId="0">
      <sharedItems containsSemiMixedTypes="0" containsString="0" containsNumber="1" containsInteger="1" minValue="50" maxValue="250"/>
    </cacheField>
    <cacheField name="Discount ( 0%)" numFmtId="0">
      <sharedItems containsSemiMixedTypes="0" containsString="0" containsNumber="1" containsInteger="1" minValue="0" maxValue="20"/>
    </cacheField>
    <cacheField name="Total Reveneue" numFmtId="0">
      <sharedItems containsSemiMixedTypes="0" containsString="0" containsNumber="1" minValue="40" maxValue="2500"/>
    </cacheField>
    <cacheField name="Profit" numFmtId="0">
      <sharedItems containsSemiMixedTypes="0" containsString="0" containsNumber="1" minValue="-725" maxValue="2275"/>
    </cacheField>
    <cacheField name="Payment Mode" numFmtId="0">
      <sharedItems count="3">
        <s v="Cash"/>
        <s v="Card"/>
        <s v="UPI"/>
      </sharedItems>
    </cacheField>
    <cacheField name="DISSCOUNT APPLIED" numFmtId="0">
      <sharedItems count="2">
        <s v="YES"/>
        <s v="NO"/>
      </sharedItems>
    </cacheField>
    <cacheField name="Customer ID" numFmtId="0">
      <sharedItems count="421">
        <s v="CUST-1300"/>
        <s v="CUST-1864"/>
        <s v="CUST-1591"/>
        <s v="CUST-1110"/>
        <s v="CUST-1317"/>
        <s v="CUST-1935"/>
        <s v="CUST-1464"/>
        <s v="CUST-1369"/>
        <s v="CUST-1820"/>
        <s v="CUST-1419"/>
        <s v="CUST-1086"/>
        <s v="CUST-1113"/>
        <s v="CUST-1520"/>
        <s v="CUST-1585"/>
        <s v="CUST-1418"/>
        <s v="CUST-1549"/>
        <s v="CUST-1326"/>
        <s v="CUST-1018"/>
        <s v="CUST-1593"/>
        <s v="CUST-1843"/>
        <s v="CUST-1695"/>
        <s v="CUST-1029"/>
        <s v="CUST-1710"/>
        <s v="CUST-1893"/>
        <s v="CUST-1917"/>
        <s v="CUST-1156"/>
        <s v="CUST-1504"/>
        <s v="CUST-1877"/>
        <s v="CUST-1168"/>
        <s v="CUST-1115"/>
        <s v="CUST-1201"/>
        <s v="CUST-1652"/>
        <s v="CUST-1193"/>
        <s v="CUST-1709"/>
        <s v="CUST-1158"/>
        <s v="CUST-1065"/>
        <s v="CUST-1016"/>
        <s v="CUST-1912"/>
        <s v="CUST-1653"/>
        <s v="CUST-1501"/>
        <s v="CUST-1255"/>
        <s v="CUST-1851"/>
        <s v="CUST-1009"/>
        <s v="CUST-1437"/>
        <s v="CUST-1150"/>
        <s v="CUST-1045"/>
        <s v="CUST-1986"/>
        <s v="CUST-1693"/>
        <s v="CUST-1899"/>
        <s v="CUST-1539"/>
        <s v="CUST-1068"/>
        <s v="CUST-1395"/>
        <s v="CUST-1916"/>
        <s v="CUST-1692"/>
        <s v="CUST-1294"/>
        <s v="CUST-1052"/>
        <s v="CUST-1863"/>
        <s v="CUST-1249"/>
        <s v="CUST-1243"/>
        <s v="CUST-1923"/>
        <s v="CUST-1192"/>
        <s v="CUST-1476"/>
        <s v="CUST-1900"/>
        <s v="CUST-1850"/>
        <s v="CUST-1827"/>
        <s v="CUST-1787"/>
        <s v="CUST-1241"/>
        <s v="CUST-1681"/>
        <s v="CUST-1697"/>
        <s v="CUST-1532"/>
        <s v="CUST-1654"/>
        <s v="CUST-1098"/>
        <s v="CUST-1818"/>
        <s v="CUST-1769"/>
        <s v="CUST-1493"/>
        <s v="CUST-1228"/>
        <s v="CUST-1760"/>
        <s v="CUST-1583"/>
        <s v="CUST-1964"/>
        <s v="CUST-1139"/>
        <s v="CUST-1840"/>
        <s v="CUST-1129"/>
        <s v="CUST-1026"/>
        <s v="CUST-1557"/>
        <s v="CUST-1594"/>
        <s v="CUST-1048"/>
        <s v="CUST-1838"/>
        <s v="CUST-1196"/>
        <s v="CUST-1608"/>
        <s v="CUST-1339"/>
        <s v="CUST-1001"/>
        <s v="CUST-1197"/>
        <s v="CUST-1235"/>
        <s v="CUST-1117"/>
        <s v="CUST-1596"/>
        <s v="CUST-1210"/>
        <s v="CUST-1180"/>
        <s v="CUST-1742"/>
        <s v="CUST-1875"/>
        <s v="CUST-1101"/>
        <s v="CUST-1516"/>
        <s v="CUST-1867"/>
        <s v="CUST-1023"/>
        <s v="CUST-1674"/>
        <s v="CUST-1013"/>
        <s v="CUST-1416"/>
        <s v="CUST-1795"/>
        <s v="CUST-1782"/>
        <s v="CUST-1122"/>
        <s v="CUST-1389"/>
        <s v="CUST-1703"/>
        <s v="CUST-1173"/>
        <s v="CUST-1622"/>
        <s v="CUST-1263"/>
        <s v="CUST-1543"/>
        <s v="CUST-1247"/>
        <s v="CUST-1673"/>
        <s v="CUST-1136"/>
        <s v="CUST-1747"/>
        <s v="CUST-1390"/>
        <s v="CUST-1340"/>
        <s v="CUST-1679"/>
        <s v="CUST-1032"/>
        <s v="CUST-1582"/>
        <s v="CUST-1076"/>
        <s v="CUST-1810"/>
        <s v="CUST-1550"/>
        <s v="CUST-1053"/>
        <s v="CUST-1305"/>
        <s v="CUST-1140"/>
        <s v="CUST-1152"/>
        <s v="CUST-1147"/>
        <s v="CUST-1080"/>
        <s v="CUST-1960"/>
        <s v="CUST-1216"/>
        <s v="CUST-1529"/>
        <s v="CUST-1690"/>
        <s v="CUST-1089"/>
        <s v="CUST-1357"/>
        <s v="CUST-1920"/>
        <s v="CUST-1017"/>
        <s v="CUST-1432"/>
        <s v="CUST-1533"/>
        <s v="CUST-1408"/>
        <s v="CUST-1521"/>
        <s v="CUST-1947"/>
        <s v="CUST-1420"/>
        <s v="CUST-1325"/>
        <s v="CUST-1908"/>
        <s v="CUST-1626"/>
        <s v="CUST-1469"/>
        <s v="CUST-1214"/>
        <s v="CUST-1049"/>
        <s v="CUST-1222"/>
        <s v="CUST-1802"/>
        <s v="CUST-1107"/>
        <s v="CUST-1312"/>
        <s v="CUST-1285"/>
        <s v="CUST-1497"/>
        <s v="CUST-1396"/>
        <s v="CUST-1087"/>
        <s v="CUST-1377"/>
        <s v="CUST-1954"/>
        <s v="CUST-1526"/>
        <s v="CUST-1910"/>
        <s v="CUST-1279"/>
        <s v="CUST-1979"/>
        <s v="CUST-1403"/>
        <s v="CUST-1081"/>
        <s v="CUST-1471"/>
        <s v="CUST-1569"/>
        <s v="CUST-1148"/>
        <s v="CUST-1948"/>
        <s v="CUST-1188"/>
        <s v="CUST-1933"/>
        <s v="CUST-1382"/>
        <s v="CUST-1578"/>
        <s v="CUST-1499"/>
        <s v="CUST-1606"/>
        <s v="CUST-1862"/>
        <s v="CUST-1546"/>
        <s v="CUST-1436"/>
        <s v="CUST-1345"/>
        <s v="CUST-1127"/>
        <s v="CUST-1616"/>
        <s v="CUST-1762"/>
        <s v="CUST-1788"/>
        <s v="CUST-1632"/>
        <s v="CUST-1996"/>
        <s v="CUST-1937"/>
        <s v="CUST-1069"/>
        <s v="CUST-1074"/>
        <s v="CUST-1555"/>
        <s v="CUST-1268"/>
        <s v="CUST-1819"/>
        <s v="CUST-1346"/>
        <s v="CUST-1876"/>
        <s v="CUST-1552"/>
        <s v="CUST-1460"/>
        <s v="CUST-1715"/>
        <s v="CUST-1548"/>
        <s v="CUST-1731"/>
        <s v="CUST-1397"/>
        <s v="CUST-1202"/>
        <s v="CUST-1799"/>
        <s v="CUST-1307"/>
        <s v="CUST-1323"/>
        <s v="CUST-1544"/>
        <s v="CUST-1890"/>
        <s v="CUST-1227"/>
        <s v="CUST-1750"/>
        <s v="CUST-1783"/>
        <s v="CUST-1206"/>
        <s v="CUST-1442"/>
        <s v="CUST-1041"/>
        <s v="CUST-1675"/>
        <s v="CUST-1011"/>
        <s v="CUST-1962"/>
        <s v="CUST-1440"/>
        <s v="CUST-1992"/>
        <s v="CUST-1450"/>
        <s v="CUST-1896"/>
        <s v="CUST-1412"/>
        <s v="CUST-1314"/>
        <s v="CUST-1792"/>
        <s v="CUST-1405"/>
        <s v="CUST-1835"/>
        <s v="CUST-1786"/>
        <s v="CUST-1399"/>
        <s v="CUST-1145"/>
        <s v="CUST-1936"/>
        <s v="CUST-1112"/>
        <s v="CUST-1438"/>
        <s v="CUST-1648"/>
        <s v="CUST-1410"/>
        <s v="CUST-1384"/>
        <s v="CUST-1302"/>
        <s v="CUST-1712"/>
        <s v="CUST-1483"/>
        <s v="CUST-1020"/>
        <s v="CUST-1705"/>
        <s v="CUST-1951"/>
        <s v="CUST-1524"/>
        <s v="CUST-1310"/>
        <s v="CUST-1225"/>
        <s v="CUST-1730"/>
        <s v="CUST-1102"/>
        <s v="CUST-1895"/>
        <s v="CUST-1587"/>
        <s v="CUST-1978"/>
        <s v="CUST-1881"/>
        <s v="CUST-1004"/>
        <s v="CUST-1959"/>
        <s v="CUST-1083"/>
        <s v="CUST-1848"/>
        <s v="CUST-1292"/>
        <s v="CUST-1138"/>
        <s v="CUST-1058"/>
        <s v="CUST-1003"/>
        <s v="CUST-1422"/>
        <s v="CUST-1185"/>
        <s v="CUST-1350"/>
        <s v="CUST-1223"/>
        <s v="CUST-1764"/>
        <s v="CUST-1166"/>
        <s v="CUST-1400"/>
        <s v="CUST-1510"/>
        <s v="CUST-1680"/>
        <s v="CUST-1149"/>
        <s v="CUST-1789"/>
        <s v="CUST-1723"/>
        <s v="CUST-1404"/>
        <s v="CUST-1295"/>
        <s v="CUST-1213"/>
        <s v="CUST-1453"/>
        <s v="CUST-1874"/>
        <s v="CUST-1131"/>
        <s v="CUST-1232"/>
        <s v="CUST-1758"/>
        <s v="CUST-1651"/>
        <s v="CUST-1256"/>
        <s v="CUST-1588"/>
        <s v="CUST-1335"/>
        <s v="CUST-1738"/>
        <s v="CUST-1993"/>
        <s v="CUST-1961"/>
        <s v="CUST-1922"/>
        <s v="CUST-1879"/>
        <s v="CUST-1064"/>
        <s v="CUST-1070"/>
        <s v="CUST-1445"/>
        <s v="CUST-1398"/>
        <s v="CUST-1839"/>
        <s v="CUST-1746"/>
        <s v="CUST-1977"/>
        <s v="CUST-1451"/>
        <s v="CUST-1566"/>
        <s v="CUST-1462"/>
        <s v="CUST-1554"/>
        <s v="CUST-1707"/>
        <s v="CUST-1484"/>
        <s v="CUST-1067"/>
        <s v="CUST-1341"/>
        <s v="CUST-1921"/>
        <s v="CUST-1402"/>
        <s v="CUST-1084"/>
        <s v="CUST-1132"/>
        <s v="CUST-1736"/>
        <s v="CUST-1409"/>
        <s v="CUST-1628"/>
        <s v="CUST-1989"/>
        <s v="CUST-1413"/>
        <s v="CUST-1100"/>
        <s v="CUST-1836"/>
        <s v="CUST-1170"/>
        <s v="CUST-1846"/>
        <s v="CUST-1801"/>
        <s v="CUST-1617"/>
        <s v="CUST-1372"/>
        <s v="CUST-1872"/>
        <s v="CUST-1897"/>
        <s v="CUST-1678"/>
        <s v="CUST-1331"/>
        <s v="CUST-1215"/>
        <s v="CUST-1090"/>
        <s v="CUST-1119"/>
        <s v="CUST-1757"/>
        <s v="CUST-1368"/>
        <s v="CUST-1155"/>
        <s v="CUST-1562"/>
        <s v="CUST-1609"/>
        <s v="CUST-1699"/>
        <s v="CUST-1949"/>
        <s v="CUST-1055"/>
        <s v="CUST-1266"/>
        <s v="CUST-1589"/>
        <s v="CUST-1482"/>
        <s v="CUST-1638"/>
        <s v="CUST-1595"/>
        <s v="CUST-1567"/>
        <s v="CUST-1774"/>
        <s v="CUST-1906"/>
        <s v="CUST-1905"/>
        <s v="CUST-1688"/>
        <s v="CUST-1449"/>
        <s v="CUST-1044"/>
        <s v="CUST-1522"/>
        <s v="CUST-1946"/>
        <s v="CUST-1995"/>
        <s v="CUST-1708"/>
        <s v="CUST-1477"/>
        <s v="CUST-1060"/>
        <s v="CUST-1861"/>
        <s v="CUST-1793"/>
        <s v="CUST-1655"/>
        <s v="CUST-1178"/>
        <s v="CUST-1342"/>
        <s v="CUST-1889"/>
        <s v="CUST-1953"/>
        <s v="CUST-1429"/>
        <s v="CUST-1159"/>
        <s v="CUST-1203"/>
        <s v="CUST-1443"/>
        <s v="CUST-1828"/>
        <s v="CUST-1560"/>
        <s v="CUST-1488"/>
        <s v="CUST-1870"/>
        <s v="CUST-1855"/>
        <s v="CUST-1481"/>
        <s v="CUST-1104"/>
        <s v="CUST-1672"/>
        <s v="CUST-1754"/>
        <s v="CUST-1997"/>
        <s v="CUST-1666"/>
        <s v="CUST-1111"/>
        <s v="CUST-1924"/>
        <s v="CUST-1179"/>
        <s v="CUST-1659"/>
        <s v="CUST-1940"/>
        <s v="CUST-1805"/>
        <s v="CUST-1726"/>
        <s v="CUST-1191"/>
        <s v="CUST-1078"/>
        <s v="CUST-1154"/>
        <s v="CUST-1143"/>
        <s v="CUST-1684"/>
        <s v="CUST-1472"/>
        <s v="CUST-1541"/>
        <s v="CUST-1644"/>
        <s v="CUST-1430"/>
        <s v="CUST-1704"/>
        <s v="CUST-1347"/>
        <s v="CUST-1360"/>
        <s v="CUST-1765"/>
        <s v="CUST-1852"/>
        <s v="CUST-1219"/>
        <s v="CUST-1278"/>
        <s v="CUST-1534"/>
        <s v="CUST-1500"/>
        <s v="CUST-1298"/>
        <s v="CUST-1414"/>
        <s v="CUST-1106"/>
        <s v="CUST-1364"/>
        <s v="CUST-1914"/>
        <s v="CUST-1637"/>
        <s v="CUST-1351"/>
        <s v="CUST-1366"/>
        <s v="CUST-1685"/>
        <s v="CUST-1417"/>
        <s v="CUST-1251"/>
        <s v="CUST-1198"/>
        <s v="CUST-1015"/>
        <s v="CUST-1277"/>
        <s v="CUST-1570"/>
        <s v="CUST-1806"/>
        <s v="CUST-1512"/>
        <s v="CUST-1031"/>
        <s v="CUST-1804"/>
        <s v="CUST-1288"/>
        <s v="CUST-1540"/>
        <s v="CUST-1071"/>
      </sharedItems>
    </cacheField>
    <cacheField name="Remarks" numFmtId="0">
      <sharedItems count="6">
        <s v="No Remarks"/>
        <s v="Promo Applied"/>
        <s v="Festival Offer"/>
        <s v="Refunded"/>
        <s v="Customer Complaint"/>
        <s v="Buy 1 Get 1"/>
      </sharedItems>
    </cacheField>
    <cacheField name="AVERAAGE PROFIT MRGIN" numFmtId="0" formula="Profit/'Total Reveneue'" databaseField="0"/>
    <cacheField name="AVG PROFIT / PRODUCT" numFmtId="0" formula="Profit/'Unit Sold '" databaseField="0"/>
    <cacheField name="PROFIT RATIO" numFmtId="0" formula="Profit/'Total Reveneue'" databaseField="0"/>
  </cacheFields>
  <extLst>
    <ext xmlns:x14="http://schemas.microsoft.com/office/spreadsheetml/2009/9/main" uri="{725AE2AE-9491-48be-B2B4-4EB974FC3084}">
      <x14:pivotCacheDefinition pivotCacheId="1501089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
  <r>
    <d v="2025-09-26T00:00:00"/>
    <x v="0"/>
    <x v="0"/>
    <x v="0"/>
    <x v="0"/>
    <x v="0"/>
    <x v="0"/>
    <n v="2"/>
    <n v="45"/>
    <n v="150"/>
    <n v="15"/>
    <n v="255"/>
    <n v="165"/>
    <x v="0"/>
    <x v="0"/>
    <x v="0"/>
    <x v="0"/>
  </r>
  <r>
    <d v="2025-11-14T00:00:00"/>
    <x v="1"/>
    <x v="0"/>
    <x v="0"/>
    <x v="1"/>
    <x v="1"/>
    <x v="1"/>
    <n v="2"/>
    <n v="40"/>
    <n v="200"/>
    <n v="0"/>
    <n v="400"/>
    <n v="320"/>
    <x v="1"/>
    <x v="1"/>
    <x v="1"/>
    <x v="1"/>
  </r>
  <r>
    <d v="2025-04-23T00:00:00"/>
    <x v="2"/>
    <x v="1"/>
    <x v="1"/>
    <x v="2"/>
    <x v="2"/>
    <x v="2"/>
    <n v="2"/>
    <n v="112.5"/>
    <n v="250"/>
    <n v="5"/>
    <n v="475"/>
    <n v="250"/>
    <x v="1"/>
    <x v="0"/>
    <x v="2"/>
    <x v="0"/>
  </r>
  <r>
    <d v="2025-09-21T00:00:00"/>
    <x v="0"/>
    <x v="2"/>
    <x v="2"/>
    <x v="3"/>
    <x v="3"/>
    <x v="3"/>
    <n v="3"/>
    <n v="40"/>
    <n v="150"/>
    <n v="20"/>
    <n v="360"/>
    <n v="240"/>
    <x v="0"/>
    <x v="0"/>
    <x v="3"/>
    <x v="1"/>
  </r>
  <r>
    <d v="2025-01-08T00:00:00"/>
    <x v="3"/>
    <x v="1"/>
    <x v="3"/>
    <x v="3"/>
    <x v="4"/>
    <x v="4"/>
    <n v="2"/>
    <n v="112.5"/>
    <n v="100"/>
    <n v="20"/>
    <n v="160"/>
    <n v="-65"/>
    <x v="2"/>
    <x v="0"/>
    <x v="4"/>
    <x v="2"/>
  </r>
  <r>
    <d v="2025-01-19T00:00:00"/>
    <x v="3"/>
    <x v="2"/>
    <x v="4"/>
    <x v="4"/>
    <x v="3"/>
    <x v="3"/>
    <n v="1"/>
    <n v="20"/>
    <n v="250"/>
    <n v="15"/>
    <n v="212.5"/>
    <n v="192.5"/>
    <x v="0"/>
    <x v="0"/>
    <x v="5"/>
    <x v="3"/>
  </r>
  <r>
    <d v="2025-04-25T00:00:00"/>
    <x v="2"/>
    <x v="0"/>
    <x v="2"/>
    <x v="2"/>
    <x v="2"/>
    <x v="5"/>
    <n v="1"/>
    <n v="22.5"/>
    <n v="50"/>
    <n v="0"/>
    <n v="50"/>
    <n v="27.5"/>
    <x v="2"/>
    <x v="1"/>
    <x v="6"/>
    <x v="3"/>
  </r>
  <r>
    <d v="2025-01-25T00:00:00"/>
    <x v="3"/>
    <x v="3"/>
    <x v="1"/>
    <x v="2"/>
    <x v="2"/>
    <x v="2"/>
    <n v="1"/>
    <n v="112.5"/>
    <n v="250"/>
    <n v="10"/>
    <n v="225"/>
    <n v="112.5"/>
    <x v="2"/>
    <x v="0"/>
    <x v="7"/>
    <x v="4"/>
  </r>
  <r>
    <d v="2025-11-24T00:00:00"/>
    <x v="1"/>
    <x v="4"/>
    <x v="0"/>
    <x v="3"/>
    <x v="0"/>
    <x v="0"/>
    <n v="10"/>
    <n v="60"/>
    <n v="200"/>
    <n v="5"/>
    <n v="1900"/>
    <n v="1300"/>
    <x v="2"/>
    <x v="0"/>
    <x v="8"/>
    <x v="0"/>
  </r>
  <r>
    <d v="2025-05-28T00:00:00"/>
    <x v="4"/>
    <x v="1"/>
    <x v="0"/>
    <x v="2"/>
    <x v="3"/>
    <x v="6"/>
    <n v="3"/>
    <n v="40"/>
    <n v="150"/>
    <n v="0"/>
    <n v="450"/>
    <n v="330"/>
    <x v="0"/>
    <x v="1"/>
    <x v="9"/>
    <x v="3"/>
  </r>
  <r>
    <d v="2025-01-07T00:00:00"/>
    <x v="3"/>
    <x v="5"/>
    <x v="3"/>
    <x v="3"/>
    <x v="3"/>
    <x v="6"/>
    <n v="3"/>
    <n v="40"/>
    <n v="100"/>
    <n v="20"/>
    <n v="240"/>
    <n v="120"/>
    <x v="1"/>
    <x v="0"/>
    <x v="10"/>
    <x v="2"/>
  </r>
  <r>
    <d v="2025-03-18T00:00:00"/>
    <x v="5"/>
    <x v="5"/>
    <x v="3"/>
    <x v="0"/>
    <x v="4"/>
    <x v="7"/>
    <n v="2"/>
    <n v="112.5"/>
    <n v="100"/>
    <n v="0"/>
    <n v="200"/>
    <n v="-25"/>
    <x v="1"/>
    <x v="1"/>
    <x v="11"/>
    <x v="0"/>
  </r>
  <r>
    <d v="2025-08-21T00:00:00"/>
    <x v="6"/>
    <x v="6"/>
    <x v="0"/>
    <x v="4"/>
    <x v="0"/>
    <x v="0"/>
    <n v="5"/>
    <n v="75"/>
    <n v="250"/>
    <n v="0"/>
    <n v="1250"/>
    <n v="875"/>
    <x v="0"/>
    <x v="1"/>
    <x v="12"/>
    <x v="4"/>
  </r>
  <r>
    <d v="2025-06-09T00:00:00"/>
    <x v="7"/>
    <x v="4"/>
    <x v="3"/>
    <x v="3"/>
    <x v="4"/>
    <x v="4"/>
    <n v="2"/>
    <n v="45"/>
    <n v="50"/>
    <n v="0"/>
    <n v="100"/>
    <n v="10"/>
    <x v="1"/>
    <x v="1"/>
    <x v="13"/>
    <x v="3"/>
  </r>
  <r>
    <d v="2025-05-17T00:00:00"/>
    <x v="4"/>
    <x v="3"/>
    <x v="4"/>
    <x v="4"/>
    <x v="3"/>
    <x v="8"/>
    <n v="2"/>
    <n v="60"/>
    <n v="100"/>
    <n v="0"/>
    <n v="200"/>
    <n v="80"/>
    <x v="0"/>
    <x v="1"/>
    <x v="14"/>
    <x v="1"/>
  </r>
  <r>
    <d v="2025-12-07T00:00:00"/>
    <x v="8"/>
    <x v="2"/>
    <x v="4"/>
    <x v="4"/>
    <x v="1"/>
    <x v="9"/>
    <n v="3"/>
    <n v="30"/>
    <n v="150"/>
    <n v="20"/>
    <n v="360"/>
    <n v="270"/>
    <x v="1"/>
    <x v="0"/>
    <x v="15"/>
    <x v="4"/>
  </r>
  <r>
    <d v="2025-12-28T00:00:00"/>
    <x v="8"/>
    <x v="2"/>
    <x v="1"/>
    <x v="5"/>
    <x v="0"/>
    <x v="10"/>
    <n v="10"/>
    <n v="75"/>
    <n v="250"/>
    <n v="15"/>
    <n v="2125"/>
    <n v="1375"/>
    <x v="2"/>
    <x v="0"/>
    <x v="16"/>
    <x v="5"/>
  </r>
  <r>
    <d v="2025-01-08T00:00:00"/>
    <x v="3"/>
    <x v="1"/>
    <x v="2"/>
    <x v="5"/>
    <x v="4"/>
    <x v="4"/>
    <n v="10"/>
    <n v="90"/>
    <n v="50"/>
    <n v="10"/>
    <n v="450"/>
    <n v="-450"/>
    <x v="2"/>
    <x v="0"/>
    <x v="17"/>
    <x v="4"/>
  </r>
  <r>
    <d v="2025-06-20T00:00:00"/>
    <x v="7"/>
    <x v="0"/>
    <x v="2"/>
    <x v="1"/>
    <x v="4"/>
    <x v="11"/>
    <n v="3"/>
    <n v="45"/>
    <n v="200"/>
    <n v="5"/>
    <n v="570"/>
    <n v="435"/>
    <x v="1"/>
    <x v="0"/>
    <x v="18"/>
    <x v="0"/>
  </r>
  <r>
    <d v="2025-05-07T00:00:00"/>
    <x v="4"/>
    <x v="1"/>
    <x v="4"/>
    <x v="0"/>
    <x v="0"/>
    <x v="10"/>
    <n v="10"/>
    <n v="30"/>
    <n v="100"/>
    <n v="10"/>
    <n v="900"/>
    <n v="600"/>
    <x v="1"/>
    <x v="0"/>
    <x v="19"/>
    <x v="0"/>
  </r>
  <r>
    <d v="2025-10-03T00:00:00"/>
    <x v="9"/>
    <x v="0"/>
    <x v="1"/>
    <x v="4"/>
    <x v="3"/>
    <x v="6"/>
    <n v="5"/>
    <n v="20"/>
    <n v="200"/>
    <n v="0"/>
    <n v="1000"/>
    <n v="900"/>
    <x v="2"/>
    <x v="1"/>
    <x v="20"/>
    <x v="3"/>
  </r>
  <r>
    <d v="2025-01-09T00:00:00"/>
    <x v="3"/>
    <x v="6"/>
    <x v="3"/>
    <x v="1"/>
    <x v="2"/>
    <x v="5"/>
    <n v="2"/>
    <n v="22.5"/>
    <n v="50"/>
    <n v="0"/>
    <n v="100"/>
    <n v="55"/>
    <x v="1"/>
    <x v="1"/>
    <x v="21"/>
    <x v="5"/>
  </r>
  <r>
    <d v="2025-12-27T00:00:00"/>
    <x v="8"/>
    <x v="3"/>
    <x v="0"/>
    <x v="4"/>
    <x v="1"/>
    <x v="12"/>
    <n v="10"/>
    <n v="30"/>
    <n v="150"/>
    <n v="15"/>
    <n v="1275"/>
    <n v="975"/>
    <x v="1"/>
    <x v="0"/>
    <x v="22"/>
    <x v="5"/>
  </r>
  <r>
    <d v="2025-02-23T00:00:00"/>
    <x v="10"/>
    <x v="2"/>
    <x v="2"/>
    <x v="6"/>
    <x v="2"/>
    <x v="13"/>
    <n v="1"/>
    <n v="67.5"/>
    <n v="150"/>
    <n v="0"/>
    <n v="150"/>
    <n v="82.5"/>
    <x v="0"/>
    <x v="1"/>
    <x v="23"/>
    <x v="4"/>
  </r>
  <r>
    <d v="2025-06-25T00:00:00"/>
    <x v="7"/>
    <x v="1"/>
    <x v="1"/>
    <x v="2"/>
    <x v="4"/>
    <x v="11"/>
    <n v="10"/>
    <n v="22.5"/>
    <n v="250"/>
    <n v="15"/>
    <n v="2125"/>
    <n v="1900"/>
    <x v="2"/>
    <x v="0"/>
    <x v="24"/>
    <x v="0"/>
  </r>
  <r>
    <d v="2025-06-24T00:00:00"/>
    <x v="7"/>
    <x v="5"/>
    <x v="4"/>
    <x v="0"/>
    <x v="2"/>
    <x v="5"/>
    <n v="2"/>
    <n v="22.5"/>
    <n v="50"/>
    <n v="10"/>
    <n v="90"/>
    <n v="45"/>
    <x v="2"/>
    <x v="0"/>
    <x v="25"/>
    <x v="2"/>
  </r>
  <r>
    <d v="2025-09-21T00:00:00"/>
    <x v="0"/>
    <x v="2"/>
    <x v="2"/>
    <x v="3"/>
    <x v="3"/>
    <x v="8"/>
    <n v="10"/>
    <n v="60"/>
    <n v="250"/>
    <n v="20"/>
    <n v="2000"/>
    <n v="1400"/>
    <x v="2"/>
    <x v="0"/>
    <x v="26"/>
    <x v="5"/>
  </r>
  <r>
    <d v="2025-10-01T00:00:00"/>
    <x v="9"/>
    <x v="1"/>
    <x v="4"/>
    <x v="2"/>
    <x v="2"/>
    <x v="2"/>
    <n v="5"/>
    <n v="67.5"/>
    <n v="150"/>
    <n v="0"/>
    <n v="750"/>
    <n v="412.5"/>
    <x v="1"/>
    <x v="1"/>
    <x v="27"/>
    <x v="4"/>
  </r>
  <r>
    <d v="2025-06-14T00:00:00"/>
    <x v="7"/>
    <x v="3"/>
    <x v="3"/>
    <x v="4"/>
    <x v="1"/>
    <x v="14"/>
    <n v="10"/>
    <n v="50"/>
    <n v="250"/>
    <n v="15"/>
    <n v="2125"/>
    <n v="1625"/>
    <x v="0"/>
    <x v="0"/>
    <x v="28"/>
    <x v="3"/>
  </r>
  <r>
    <d v="2025-05-15T00:00:00"/>
    <x v="4"/>
    <x v="6"/>
    <x v="2"/>
    <x v="0"/>
    <x v="4"/>
    <x v="15"/>
    <n v="2"/>
    <n v="67.5"/>
    <n v="150"/>
    <n v="20"/>
    <n v="240"/>
    <n v="105"/>
    <x v="1"/>
    <x v="0"/>
    <x v="29"/>
    <x v="0"/>
  </r>
  <r>
    <d v="2025-08-09T00:00:00"/>
    <x v="6"/>
    <x v="3"/>
    <x v="0"/>
    <x v="0"/>
    <x v="2"/>
    <x v="16"/>
    <n v="3"/>
    <n v="67.5"/>
    <n v="150"/>
    <n v="0"/>
    <n v="450"/>
    <n v="247.5"/>
    <x v="2"/>
    <x v="1"/>
    <x v="30"/>
    <x v="2"/>
  </r>
  <r>
    <d v="2025-08-26T00:00:00"/>
    <x v="6"/>
    <x v="5"/>
    <x v="2"/>
    <x v="5"/>
    <x v="3"/>
    <x v="17"/>
    <n v="1"/>
    <n v="60"/>
    <n v="250"/>
    <n v="0"/>
    <n v="250"/>
    <n v="190"/>
    <x v="0"/>
    <x v="1"/>
    <x v="31"/>
    <x v="4"/>
  </r>
  <r>
    <d v="2025-01-08T00:00:00"/>
    <x v="3"/>
    <x v="1"/>
    <x v="1"/>
    <x v="5"/>
    <x v="4"/>
    <x v="4"/>
    <n v="2"/>
    <n v="67.5"/>
    <n v="150"/>
    <n v="5"/>
    <n v="285"/>
    <n v="150"/>
    <x v="0"/>
    <x v="0"/>
    <x v="32"/>
    <x v="2"/>
  </r>
  <r>
    <d v="2025-10-26T00:00:00"/>
    <x v="9"/>
    <x v="2"/>
    <x v="3"/>
    <x v="2"/>
    <x v="4"/>
    <x v="7"/>
    <n v="1"/>
    <n v="90"/>
    <n v="150"/>
    <n v="15"/>
    <n v="127.5"/>
    <n v="37.5"/>
    <x v="1"/>
    <x v="0"/>
    <x v="33"/>
    <x v="1"/>
  </r>
  <r>
    <d v="2025-12-08T00:00:00"/>
    <x v="8"/>
    <x v="4"/>
    <x v="2"/>
    <x v="6"/>
    <x v="3"/>
    <x v="3"/>
    <n v="1"/>
    <n v="40"/>
    <n v="200"/>
    <n v="5"/>
    <n v="190"/>
    <n v="150"/>
    <x v="0"/>
    <x v="0"/>
    <x v="34"/>
    <x v="0"/>
  </r>
  <r>
    <d v="2025-12-04T00:00:00"/>
    <x v="8"/>
    <x v="6"/>
    <x v="3"/>
    <x v="5"/>
    <x v="4"/>
    <x v="18"/>
    <n v="10"/>
    <n v="67.5"/>
    <n v="100"/>
    <n v="20"/>
    <n v="800"/>
    <n v="125"/>
    <x v="2"/>
    <x v="0"/>
    <x v="35"/>
    <x v="4"/>
  </r>
  <r>
    <d v="2025-03-10T00:00:00"/>
    <x v="5"/>
    <x v="4"/>
    <x v="1"/>
    <x v="0"/>
    <x v="3"/>
    <x v="6"/>
    <n v="10"/>
    <n v="60"/>
    <n v="150"/>
    <n v="0"/>
    <n v="1500"/>
    <n v="900"/>
    <x v="0"/>
    <x v="1"/>
    <x v="36"/>
    <x v="4"/>
  </r>
  <r>
    <d v="2025-03-05T00:00:00"/>
    <x v="5"/>
    <x v="1"/>
    <x v="0"/>
    <x v="2"/>
    <x v="1"/>
    <x v="12"/>
    <n v="2"/>
    <n v="30"/>
    <n v="150"/>
    <n v="0"/>
    <n v="300"/>
    <n v="240"/>
    <x v="2"/>
    <x v="1"/>
    <x v="37"/>
    <x v="3"/>
  </r>
  <r>
    <d v="2025-07-14T00:00:00"/>
    <x v="11"/>
    <x v="4"/>
    <x v="0"/>
    <x v="0"/>
    <x v="3"/>
    <x v="3"/>
    <n v="1"/>
    <n v="40"/>
    <n v="250"/>
    <n v="10"/>
    <n v="225"/>
    <n v="185"/>
    <x v="2"/>
    <x v="0"/>
    <x v="38"/>
    <x v="1"/>
  </r>
  <r>
    <d v="2025-01-08T00:00:00"/>
    <x v="3"/>
    <x v="1"/>
    <x v="3"/>
    <x v="3"/>
    <x v="4"/>
    <x v="4"/>
    <n v="2"/>
    <n v="112.5"/>
    <n v="100"/>
    <n v="20"/>
    <n v="160"/>
    <n v="-65"/>
    <x v="2"/>
    <x v="0"/>
    <x v="4"/>
    <x v="2"/>
  </r>
  <r>
    <d v="2025-07-23T00:00:00"/>
    <x v="11"/>
    <x v="1"/>
    <x v="3"/>
    <x v="4"/>
    <x v="0"/>
    <x v="10"/>
    <n v="10"/>
    <n v="75"/>
    <n v="250"/>
    <n v="5"/>
    <n v="2375"/>
    <n v="1625"/>
    <x v="0"/>
    <x v="0"/>
    <x v="39"/>
    <x v="4"/>
  </r>
  <r>
    <d v="2025-05-18T00:00:00"/>
    <x v="4"/>
    <x v="2"/>
    <x v="0"/>
    <x v="1"/>
    <x v="3"/>
    <x v="6"/>
    <n v="10"/>
    <n v="100"/>
    <n v="250"/>
    <n v="0"/>
    <n v="2500"/>
    <n v="1500"/>
    <x v="2"/>
    <x v="1"/>
    <x v="40"/>
    <x v="4"/>
  </r>
  <r>
    <d v="2025-11-18T00:00:00"/>
    <x v="1"/>
    <x v="5"/>
    <x v="2"/>
    <x v="5"/>
    <x v="2"/>
    <x v="13"/>
    <n v="2"/>
    <n v="112.5"/>
    <n v="250"/>
    <n v="0"/>
    <n v="500"/>
    <n v="275"/>
    <x v="2"/>
    <x v="1"/>
    <x v="41"/>
    <x v="0"/>
  </r>
  <r>
    <d v="2025-07-03T00:00:00"/>
    <x v="11"/>
    <x v="6"/>
    <x v="4"/>
    <x v="4"/>
    <x v="0"/>
    <x v="0"/>
    <n v="5"/>
    <n v="60"/>
    <n v="200"/>
    <n v="0"/>
    <n v="1000"/>
    <n v="700"/>
    <x v="1"/>
    <x v="1"/>
    <x v="42"/>
    <x v="1"/>
  </r>
  <r>
    <d v="2025-08-19T00:00:00"/>
    <x v="6"/>
    <x v="5"/>
    <x v="1"/>
    <x v="3"/>
    <x v="1"/>
    <x v="1"/>
    <n v="10"/>
    <n v="10"/>
    <n v="50"/>
    <n v="5"/>
    <n v="475"/>
    <n v="375"/>
    <x v="0"/>
    <x v="0"/>
    <x v="43"/>
    <x v="4"/>
  </r>
  <r>
    <d v="2025-11-17T00:00:00"/>
    <x v="1"/>
    <x v="4"/>
    <x v="1"/>
    <x v="0"/>
    <x v="1"/>
    <x v="12"/>
    <n v="5"/>
    <n v="40"/>
    <n v="200"/>
    <n v="15"/>
    <n v="850"/>
    <n v="650"/>
    <x v="0"/>
    <x v="0"/>
    <x v="44"/>
    <x v="2"/>
  </r>
  <r>
    <d v="2025-12-02T00:00:00"/>
    <x v="8"/>
    <x v="5"/>
    <x v="4"/>
    <x v="3"/>
    <x v="2"/>
    <x v="2"/>
    <n v="10"/>
    <n v="45"/>
    <n v="100"/>
    <n v="0"/>
    <n v="1000"/>
    <n v="550"/>
    <x v="0"/>
    <x v="1"/>
    <x v="45"/>
    <x v="0"/>
  </r>
  <r>
    <d v="2025-09-03T00:00:00"/>
    <x v="0"/>
    <x v="1"/>
    <x v="1"/>
    <x v="6"/>
    <x v="2"/>
    <x v="5"/>
    <n v="1"/>
    <n v="67.5"/>
    <n v="150"/>
    <n v="0"/>
    <n v="150"/>
    <n v="82.5"/>
    <x v="1"/>
    <x v="1"/>
    <x v="46"/>
    <x v="0"/>
  </r>
  <r>
    <d v="2025-04-20T00:00:00"/>
    <x v="2"/>
    <x v="2"/>
    <x v="3"/>
    <x v="6"/>
    <x v="4"/>
    <x v="7"/>
    <n v="1"/>
    <n v="22.5"/>
    <n v="200"/>
    <n v="10"/>
    <n v="180"/>
    <n v="157.5"/>
    <x v="2"/>
    <x v="0"/>
    <x v="47"/>
    <x v="1"/>
  </r>
  <r>
    <d v="2025-05-19T00:00:00"/>
    <x v="4"/>
    <x v="4"/>
    <x v="0"/>
    <x v="6"/>
    <x v="4"/>
    <x v="11"/>
    <n v="2"/>
    <n v="90"/>
    <n v="50"/>
    <n v="5"/>
    <n v="95"/>
    <n v="-85"/>
    <x v="0"/>
    <x v="0"/>
    <x v="48"/>
    <x v="0"/>
  </r>
  <r>
    <d v="2025-03-04T00:00:00"/>
    <x v="5"/>
    <x v="5"/>
    <x v="0"/>
    <x v="6"/>
    <x v="0"/>
    <x v="0"/>
    <n v="2"/>
    <n v="60"/>
    <n v="200"/>
    <n v="0"/>
    <n v="400"/>
    <n v="280"/>
    <x v="2"/>
    <x v="1"/>
    <x v="49"/>
    <x v="0"/>
  </r>
  <r>
    <d v="2025-10-09T00:00:00"/>
    <x v="9"/>
    <x v="6"/>
    <x v="3"/>
    <x v="6"/>
    <x v="2"/>
    <x v="2"/>
    <n v="3"/>
    <n v="45"/>
    <n v="100"/>
    <n v="10"/>
    <n v="270"/>
    <n v="135"/>
    <x v="2"/>
    <x v="0"/>
    <x v="50"/>
    <x v="0"/>
  </r>
  <r>
    <d v="2025-02-09T00:00:00"/>
    <x v="10"/>
    <x v="2"/>
    <x v="2"/>
    <x v="3"/>
    <x v="0"/>
    <x v="19"/>
    <n v="3"/>
    <n v="30"/>
    <n v="100"/>
    <n v="20"/>
    <n v="240"/>
    <n v="150"/>
    <x v="1"/>
    <x v="0"/>
    <x v="51"/>
    <x v="5"/>
  </r>
  <r>
    <d v="2025-01-01T00:00:00"/>
    <x v="3"/>
    <x v="1"/>
    <x v="4"/>
    <x v="1"/>
    <x v="1"/>
    <x v="20"/>
    <n v="5"/>
    <n v="40"/>
    <n v="200"/>
    <n v="10"/>
    <n v="900"/>
    <n v="700"/>
    <x v="1"/>
    <x v="0"/>
    <x v="52"/>
    <x v="0"/>
  </r>
  <r>
    <d v="2025-05-14T00:00:00"/>
    <x v="4"/>
    <x v="1"/>
    <x v="2"/>
    <x v="4"/>
    <x v="2"/>
    <x v="2"/>
    <n v="5"/>
    <n v="67.5"/>
    <n v="150"/>
    <n v="0"/>
    <n v="750"/>
    <n v="412.5"/>
    <x v="1"/>
    <x v="1"/>
    <x v="53"/>
    <x v="0"/>
  </r>
  <r>
    <d v="2025-02-20T00:00:00"/>
    <x v="10"/>
    <x v="6"/>
    <x v="3"/>
    <x v="3"/>
    <x v="3"/>
    <x v="8"/>
    <n v="3"/>
    <n v="20"/>
    <n v="100"/>
    <n v="20"/>
    <n v="240"/>
    <n v="180"/>
    <x v="1"/>
    <x v="0"/>
    <x v="54"/>
    <x v="4"/>
  </r>
  <r>
    <d v="2025-09-08T00:00:00"/>
    <x v="0"/>
    <x v="4"/>
    <x v="3"/>
    <x v="1"/>
    <x v="3"/>
    <x v="6"/>
    <n v="2"/>
    <n v="40"/>
    <n v="50"/>
    <n v="0"/>
    <n v="100"/>
    <n v="20"/>
    <x v="0"/>
    <x v="1"/>
    <x v="55"/>
    <x v="1"/>
  </r>
  <r>
    <d v="2025-07-02T00:00:00"/>
    <x v="11"/>
    <x v="1"/>
    <x v="0"/>
    <x v="5"/>
    <x v="2"/>
    <x v="13"/>
    <n v="1"/>
    <n v="45"/>
    <n v="100"/>
    <n v="10"/>
    <n v="90"/>
    <n v="45"/>
    <x v="0"/>
    <x v="0"/>
    <x v="53"/>
    <x v="4"/>
  </r>
  <r>
    <d v="2025-08-12T00:00:00"/>
    <x v="6"/>
    <x v="5"/>
    <x v="2"/>
    <x v="2"/>
    <x v="0"/>
    <x v="19"/>
    <n v="3"/>
    <n v="75"/>
    <n v="250"/>
    <n v="10"/>
    <n v="675"/>
    <n v="450"/>
    <x v="2"/>
    <x v="0"/>
    <x v="56"/>
    <x v="2"/>
  </r>
  <r>
    <d v="2025-07-02T00:00:00"/>
    <x v="11"/>
    <x v="1"/>
    <x v="0"/>
    <x v="5"/>
    <x v="2"/>
    <x v="13"/>
    <n v="1"/>
    <n v="45"/>
    <n v="100"/>
    <n v="10"/>
    <n v="90"/>
    <n v="45"/>
    <x v="0"/>
    <x v="0"/>
    <x v="53"/>
    <x v="4"/>
  </r>
  <r>
    <d v="2025-10-23T00:00:00"/>
    <x v="9"/>
    <x v="6"/>
    <x v="2"/>
    <x v="2"/>
    <x v="3"/>
    <x v="17"/>
    <n v="2"/>
    <n v="60"/>
    <n v="50"/>
    <n v="5"/>
    <n v="95"/>
    <n v="-25"/>
    <x v="0"/>
    <x v="0"/>
    <x v="57"/>
    <x v="1"/>
  </r>
  <r>
    <d v="2025-10-09T00:00:00"/>
    <x v="9"/>
    <x v="6"/>
    <x v="0"/>
    <x v="0"/>
    <x v="4"/>
    <x v="7"/>
    <n v="1"/>
    <n v="112.5"/>
    <n v="150"/>
    <n v="10"/>
    <n v="135"/>
    <n v="22.5"/>
    <x v="1"/>
    <x v="0"/>
    <x v="58"/>
    <x v="5"/>
  </r>
  <r>
    <d v="2025-04-17T00:00:00"/>
    <x v="2"/>
    <x v="6"/>
    <x v="0"/>
    <x v="3"/>
    <x v="0"/>
    <x v="21"/>
    <n v="5"/>
    <n v="75"/>
    <n v="250"/>
    <n v="10"/>
    <n v="1125"/>
    <n v="750"/>
    <x v="1"/>
    <x v="0"/>
    <x v="59"/>
    <x v="4"/>
  </r>
  <r>
    <d v="2025-05-24T00:00:00"/>
    <x v="4"/>
    <x v="3"/>
    <x v="3"/>
    <x v="1"/>
    <x v="4"/>
    <x v="18"/>
    <n v="3"/>
    <n v="112.5"/>
    <n v="250"/>
    <n v="0"/>
    <n v="750"/>
    <n v="412.5"/>
    <x v="0"/>
    <x v="1"/>
    <x v="60"/>
    <x v="5"/>
  </r>
  <r>
    <d v="2025-04-08T00:00:00"/>
    <x v="2"/>
    <x v="5"/>
    <x v="3"/>
    <x v="1"/>
    <x v="2"/>
    <x v="5"/>
    <n v="2"/>
    <n v="112.5"/>
    <n v="250"/>
    <n v="20"/>
    <n v="400"/>
    <n v="175"/>
    <x v="2"/>
    <x v="0"/>
    <x v="61"/>
    <x v="3"/>
  </r>
  <r>
    <d v="2025-04-09T00:00:00"/>
    <x v="2"/>
    <x v="1"/>
    <x v="4"/>
    <x v="0"/>
    <x v="2"/>
    <x v="2"/>
    <n v="1"/>
    <n v="22.5"/>
    <n v="50"/>
    <n v="5"/>
    <n v="47.5"/>
    <n v="25"/>
    <x v="0"/>
    <x v="0"/>
    <x v="62"/>
    <x v="3"/>
  </r>
  <r>
    <d v="2025-10-14T00:00:00"/>
    <x v="9"/>
    <x v="5"/>
    <x v="2"/>
    <x v="4"/>
    <x v="1"/>
    <x v="20"/>
    <n v="3"/>
    <n v="40"/>
    <n v="200"/>
    <n v="20"/>
    <n v="480"/>
    <n v="360"/>
    <x v="2"/>
    <x v="0"/>
    <x v="63"/>
    <x v="1"/>
  </r>
  <r>
    <d v="2025-12-05T00:00:00"/>
    <x v="8"/>
    <x v="0"/>
    <x v="4"/>
    <x v="3"/>
    <x v="2"/>
    <x v="5"/>
    <n v="5"/>
    <n v="45"/>
    <n v="100"/>
    <n v="15"/>
    <n v="425"/>
    <n v="200"/>
    <x v="2"/>
    <x v="0"/>
    <x v="64"/>
    <x v="0"/>
  </r>
  <r>
    <d v="2025-05-01T00:00:00"/>
    <x v="4"/>
    <x v="6"/>
    <x v="3"/>
    <x v="0"/>
    <x v="1"/>
    <x v="14"/>
    <n v="10"/>
    <n v="30"/>
    <n v="150"/>
    <n v="10"/>
    <n v="1350"/>
    <n v="1050"/>
    <x v="1"/>
    <x v="0"/>
    <x v="65"/>
    <x v="1"/>
  </r>
  <r>
    <d v="2025-06-02T00:00:00"/>
    <x v="7"/>
    <x v="4"/>
    <x v="2"/>
    <x v="6"/>
    <x v="2"/>
    <x v="16"/>
    <n v="3"/>
    <n v="90"/>
    <n v="200"/>
    <n v="10"/>
    <n v="540"/>
    <n v="270"/>
    <x v="1"/>
    <x v="0"/>
    <x v="66"/>
    <x v="0"/>
  </r>
  <r>
    <d v="2025-01-14T00:00:00"/>
    <x v="3"/>
    <x v="5"/>
    <x v="3"/>
    <x v="1"/>
    <x v="1"/>
    <x v="1"/>
    <n v="5"/>
    <n v="40"/>
    <n v="200"/>
    <n v="5"/>
    <n v="950"/>
    <n v="750"/>
    <x v="0"/>
    <x v="0"/>
    <x v="67"/>
    <x v="0"/>
  </r>
  <r>
    <d v="2025-07-13T00:00:00"/>
    <x v="11"/>
    <x v="2"/>
    <x v="0"/>
    <x v="6"/>
    <x v="3"/>
    <x v="3"/>
    <n v="2"/>
    <n v="100"/>
    <n v="250"/>
    <n v="10"/>
    <n v="450"/>
    <n v="250"/>
    <x v="0"/>
    <x v="0"/>
    <x v="39"/>
    <x v="3"/>
  </r>
  <r>
    <d v="2025-06-22T00:00:00"/>
    <x v="7"/>
    <x v="2"/>
    <x v="4"/>
    <x v="2"/>
    <x v="0"/>
    <x v="21"/>
    <n v="5"/>
    <n v="75"/>
    <n v="250"/>
    <n v="10"/>
    <n v="1125"/>
    <n v="750"/>
    <x v="2"/>
    <x v="0"/>
    <x v="68"/>
    <x v="0"/>
  </r>
  <r>
    <d v="2025-10-27T00:00:00"/>
    <x v="9"/>
    <x v="4"/>
    <x v="3"/>
    <x v="0"/>
    <x v="3"/>
    <x v="3"/>
    <n v="5"/>
    <n v="100"/>
    <n v="150"/>
    <n v="15"/>
    <n v="637.5"/>
    <n v="137.5"/>
    <x v="0"/>
    <x v="0"/>
    <x v="69"/>
    <x v="5"/>
  </r>
  <r>
    <d v="2025-08-15T00:00:00"/>
    <x v="6"/>
    <x v="0"/>
    <x v="2"/>
    <x v="4"/>
    <x v="3"/>
    <x v="17"/>
    <n v="2"/>
    <n v="80"/>
    <n v="250"/>
    <n v="10"/>
    <n v="450"/>
    <n v="290"/>
    <x v="1"/>
    <x v="0"/>
    <x v="70"/>
    <x v="4"/>
  </r>
  <r>
    <d v="2025-03-04T00:00:00"/>
    <x v="5"/>
    <x v="5"/>
    <x v="0"/>
    <x v="4"/>
    <x v="2"/>
    <x v="16"/>
    <n v="2"/>
    <n v="90"/>
    <n v="200"/>
    <n v="0"/>
    <n v="400"/>
    <n v="220"/>
    <x v="0"/>
    <x v="1"/>
    <x v="71"/>
    <x v="5"/>
  </r>
  <r>
    <d v="2025-06-08T00:00:00"/>
    <x v="7"/>
    <x v="2"/>
    <x v="1"/>
    <x v="6"/>
    <x v="1"/>
    <x v="20"/>
    <n v="5"/>
    <n v="40"/>
    <n v="200"/>
    <n v="20"/>
    <n v="800"/>
    <n v="600"/>
    <x v="1"/>
    <x v="0"/>
    <x v="72"/>
    <x v="0"/>
  </r>
  <r>
    <d v="2025-09-19T00:00:00"/>
    <x v="0"/>
    <x v="0"/>
    <x v="2"/>
    <x v="2"/>
    <x v="0"/>
    <x v="10"/>
    <n v="2"/>
    <n v="60"/>
    <n v="200"/>
    <n v="15"/>
    <n v="340"/>
    <n v="220"/>
    <x v="1"/>
    <x v="0"/>
    <x v="73"/>
    <x v="4"/>
  </r>
  <r>
    <d v="2025-06-05T00:00:00"/>
    <x v="7"/>
    <x v="6"/>
    <x v="1"/>
    <x v="6"/>
    <x v="0"/>
    <x v="22"/>
    <n v="2"/>
    <n v="30"/>
    <n v="100"/>
    <n v="0"/>
    <n v="200"/>
    <n v="140"/>
    <x v="0"/>
    <x v="1"/>
    <x v="74"/>
    <x v="1"/>
  </r>
  <r>
    <d v="2025-07-14T00:00:00"/>
    <x v="11"/>
    <x v="4"/>
    <x v="3"/>
    <x v="1"/>
    <x v="3"/>
    <x v="17"/>
    <n v="5"/>
    <n v="100"/>
    <n v="50"/>
    <n v="0"/>
    <n v="250"/>
    <n v="-250"/>
    <x v="2"/>
    <x v="1"/>
    <x v="75"/>
    <x v="1"/>
  </r>
  <r>
    <d v="2025-02-08T00:00:00"/>
    <x v="10"/>
    <x v="3"/>
    <x v="2"/>
    <x v="4"/>
    <x v="1"/>
    <x v="14"/>
    <n v="1"/>
    <n v="50"/>
    <n v="250"/>
    <n v="0"/>
    <n v="250"/>
    <n v="200"/>
    <x v="1"/>
    <x v="1"/>
    <x v="76"/>
    <x v="0"/>
  </r>
  <r>
    <d v="2025-12-11T00:00:00"/>
    <x v="8"/>
    <x v="6"/>
    <x v="3"/>
    <x v="0"/>
    <x v="4"/>
    <x v="11"/>
    <n v="2"/>
    <n v="45"/>
    <n v="250"/>
    <n v="10"/>
    <n v="450"/>
    <n v="360"/>
    <x v="2"/>
    <x v="0"/>
    <x v="77"/>
    <x v="3"/>
  </r>
  <r>
    <d v="2025-03-21T00:00:00"/>
    <x v="5"/>
    <x v="0"/>
    <x v="1"/>
    <x v="1"/>
    <x v="3"/>
    <x v="6"/>
    <n v="5"/>
    <n v="60"/>
    <n v="100"/>
    <n v="20"/>
    <n v="400"/>
    <n v="100"/>
    <x v="0"/>
    <x v="0"/>
    <x v="78"/>
    <x v="0"/>
  </r>
  <r>
    <d v="2025-09-16T00:00:00"/>
    <x v="0"/>
    <x v="5"/>
    <x v="3"/>
    <x v="0"/>
    <x v="3"/>
    <x v="3"/>
    <n v="10"/>
    <n v="20"/>
    <n v="150"/>
    <n v="0"/>
    <n v="1500"/>
    <n v="1300"/>
    <x v="0"/>
    <x v="1"/>
    <x v="79"/>
    <x v="4"/>
  </r>
  <r>
    <d v="2025-04-11T00:00:00"/>
    <x v="2"/>
    <x v="0"/>
    <x v="3"/>
    <x v="0"/>
    <x v="2"/>
    <x v="5"/>
    <n v="5"/>
    <n v="22.5"/>
    <n v="50"/>
    <n v="20"/>
    <n v="200"/>
    <n v="87.5"/>
    <x v="2"/>
    <x v="0"/>
    <x v="80"/>
    <x v="0"/>
  </r>
  <r>
    <d v="2025-08-01T00:00:00"/>
    <x v="6"/>
    <x v="0"/>
    <x v="4"/>
    <x v="3"/>
    <x v="3"/>
    <x v="17"/>
    <n v="5"/>
    <n v="60"/>
    <n v="250"/>
    <n v="20"/>
    <n v="1000"/>
    <n v="700"/>
    <x v="0"/>
    <x v="0"/>
    <x v="81"/>
    <x v="0"/>
  </r>
  <r>
    <d v="2025-01-13T00:00:00"/>
    <x v="3"/>
    <x v="4"/>
    <x v="4"/>
    <x v="1"/>
    <x v="3"/>
    <x v="17"/>
    <n v="10"/>
    <n v="40"/>
    <n v="150"/>
    <n v="15"/>
    <n v="1275"/>
    <n v="875"/>
    <x v="1"/>
    <x v="0"/>
    <x v="56"/>
    <x v="3"/>
  </r>
  <r>
    <d v="2025-03-18T00:00:00"/>
    <x v="5"/>
    <x v="5"/>
    <x v="3"/>
    <x v="0"/>
    <x v="4"/>
    <x v="7"/>
    <n v="2"/>
    <n v="45"/>
    <n v="100"/>
    <n v="0"/>
    <n v="200"/>
    <n v="110"/>
    <x v="1"/>
    <x v="1"/>
    <x v="11"/>
    <x v="0"/>
  </r>
  <r>
    <d v="2025-07-04T00:00:00"/>
    <x v="11"/>
    <x v="0"/>
    <x v="3"/>
    <x v="1"/>
    <x v="3"/>
    <x v="3"/>
    <n v="5"/>
    <n v="20"/>
    <n v="100"/>
    <n v="0"/>
    <n v="500"/>
    <n v="400"/>
    <x v="0"/>
    <x v="1"/>
    <x v="82"/>
    <x v="4"/>
  </r>
  <r>
    <d v="2025-09-11T00:00:00"/>
    <x v="0"/>
    <x v="6"/>
    <x v="3"/>
    <x v="2"/>
    <x v="4"/>
    <x v="18"/>
    <n v="2"/>
    <n v="90"/>
    <n v="50"/>
    <n v="0"/>
    <n v="100"/>
    <n v="-80"/>
    <x v="2"/>
    <x v="1"/>
    <x v="83"/>
    <x v="0"/>
  </r>
  <r>
    <d v="2025-04-21T00:00:00"/>
    <x v="2"/>
    <x v="4"/>
    <x v="3"/>
    <x v="3"/>
    <x v="2"/>
    <x v="13"/>
    <n v="5"/>
    <n v="90"/>
    <n v="200"/>
    <n v="0"/>
    <n v="1000"/>
    <n v="550"/>
    <x v="0"/>
    <x v="1"/>
    <x v="84"/>
    <x v="0"/>
  </r>
  <r>
    <d v="2025-08-25T00:00:00"/>
    <x v="6"/>
    <x v="4"/>
    <x v="1"/>
    <x v="4"/>
    <x v="2"/>
    <x v="13"/>
    <n v="5"/>
    <n v="67.5"/>
    <n v="150"/>
    <n v="10"/>
    <n v="675"/>
    <n v="337.5"/>
    <x v="2"/>
    <x v="0"/>
    <x v="85"/>
    <x v="1"/>
  </r>
  <r>
    <d v="2025-10-14T00:00:00"/>
    <x v="9"/>
    <x v="5"/>
    <x v="0"/>
    <x v="2"/>
    <x v="1"/>
    <x v="1"/>
    <n v="5"/>
    <n v="20"/>
    <n v="100"/>
    <n v="15"/>
    <n v="425"/>
    <n v="325"/>
    <x v="1"/>
    <x v="0"/>
    <x v="86"/>
    <x v="0"/>
  </r>
  <r>
    <d v="2025-07-11T00:00:00"/>
    <x v="11"/>
    <x v="0"/>
    <x v="4"/>
    <x v="5"/>
    <x v="4"/>
    <x v="11"/>
    <n v="10"/>
    <n v="90"/>
    <n v="150"/>
    <n v="0"/>
    <n v="1500"/>
    <n v="600"/>
    <x v="0"/>
    <x v="1"/>
    <x v="87"/>
    <x v="5"/>
  </r>
  <r>
    <d v="2025-03-10T00:00:00"/>
    <x v="5"/>
    <x v="4"/>
    <x v="0"/>
    <x v="5"/>
    <x v="1"/>
    <x v="20"/>
    <n v="10"/>
    <n v="40"/>
    <n v="200"/>
    <n v="0"/>
    <n v="2000"/>
    <n v="1600"/>
    <x v="1"/>
    <x v="1"/>
    <x v="88"/>
    <x v="2"/>
  </r>
  <r>
    <d v="2025-11-22T00:00:00"/>
    <x v="1"/>
    <x v="3"/>
    <x v="4"/>
    <x v="4"/>
    <x v="4"/>
    <x v="4"/>
    <n v="3"/>
    <n v="45"/>
    <n v="100"/>
    <n v="0"/>
    <n v="300"/>
    <n v="165"/>
    <x v="0"/>
    <x v="1"/>
    <x v="89"/>
    <x v="0"/>
  </r>
  <r>
    <d v="2025-09-04T00:00:00"/>
    <x v="0"/>
    <x v="6"/>
    <x v="0"/>
    <x v="0"/>
    <x v="1"/>
    <x v="20"/>
    <n v="10"/>
    <n v="20"/>
    <n v="100"/>
    <n v="20"/>
    <n v="800"/>
    <n v="600"/>
    <x v="2"/>
    <x v="0"/>
    <x v="90"/>
    <x v="4"/>
  </r>
  <r>
    <d v="2025-08-19T00:00:00"/>
    <x v="6"/>
    <x v="5"/>
    <x v="4"/>
    <x v="5"/>
    <x v="4"/>
    <x v="7"/>
    <n v="2"/>
    <n v="67.5"/>
    <n v="150"/>
    <n v="20"/>
    <n v="240"/>
    <n v="105"/>
    <x v="2"/>
    <x v="0"/>
    <x v="91"/>
    <x v="1"/>
  </r>
  <r>
    <d v="2025-02-04T00:00:00"/>
    <x v="10"/>
    <x v="5"/>
    <x v="3"/>
    <x v="5"/>
    <x v="2"/>
    <x v="2"/>
    <n v="1"/>
    <n v="67.5"/>
    <n v="150"/>
    <n v="0"/>
    <n v="150"/>
    <n v="82.5"/>
    <x v="0"/>
    <x v="1"/>
    <x v="92"/>
    <x v="2"/>
  </r>
  <r>
    <d v="2025-06-18T00:00:00"/>
    <x v="7"/>
    <x v="1"/>
    <x v="4"/>
    <x v="0"/>
    <x v="4"/>
    <x v="11"/>
    <n v="10"/>
    <n v="90"/>
    <n v="150"/>
    <n v="15"/>
    <n v="1275"/>
    <n v="375"/>
    <x v="1"/>
    <x v="0"/>
    <x v="93"/>
    <x v="4"/>
  </r>
  <r>
    <d v="2025-03-01T00:00:00"/>
    <x v="5"/>
    <x v="3"/>
    <x v="1"/>
    <x v="2"/>
    <x v="2"/>
    <x v="2"/>
    <n v="1"/>
    <n v="90"/>
    <n v="200"/>
    <n v="15"/>
    <n v="170"/>
    <n v="80"/>
    <x v="2"/>
    <x v="0"/>
    <x v="14"/>
    <x v="0"/>
  </r>
  <r>
    <d v="2025-02-15T00:00:00"/>
    <x v="10"/>
    <x v="3"/>
    <x v="0"/>
    <x v="3"/>
    <x v="2"/>
    <x v="16"/>
    <n v="3"/>
    <n v="67.5"/>
    <n v="150"/>
    <n v="5"/>
    <n v="427.5"/>
    <n v="225"/>
    <x v="1"/>
    <x v="0"/>
    <x v="94"/>
    <x v="3"/>
  </r>
  <r>
    <d v="2025-05-28T00:00:00"/>
    <x v="4"/>
    <x v="1"/>
    <x v="1"/>
    <x v="0"/>
    <x v="3"/>
    <x v="8"/>
    <n v="1"/>
    <n v="60"/>
    <n v="250"/>
    <n v="0"/>
    <n v="250"/>
    <n v="190"/>
    <x v="0"/>
    <x v="1"/>
    <x v="5"/>
    <x v="2"/>
  </r>
  <r>
    <d v="2025-05-11T00:00:00"/>
    <x v="4"/>
    <x v="2"/>
    <x v="3"/>
    <x v="4"/>
    <x v="0"/>
    <x v="10"/>
    <n v="1"/>
    <n v="45"/>
    <n v="150"/>
    <n v="20"/>
    <n v="120"/>
    <n v="75"/>
    <x v="1"/>
    <x v="0"/>
    <x v="95"/>
    <x v="5"/>
  </r>
  <r>
    <d v="2025-09-28T00:00:00"/>
    <x v="0"/>
    <x v="2"/>
    <x v="3"/>
    <x v="6"/>
    <x v="1"/>
    <x v="9"/>
    <n v="2"/>
    <n v="10"/>
    <n v="50"/>
    <n v="10"/>
    <n v="90"/>
    <n v="70"/>
    <x v="2"/>
    <x v="0"/>
    <x v="96"/>
    <x v="3"/>
  </r>
  <r>
    <d v="2025-05-20T00:00:00"/>
    <x v="4"/>
    <x v="5"/>
    <x v="3"/>
    <x v="4"/>
    <x v="2"/>
    <x v="13"/>
    <n v="5"/>
    <n v="22.5"/>
    <n v="50"/>
    <n v="5"/>
    <n v="237.5"/>
    <n v="125"/>
    <x v="1"/>
    <x v="0"/>
    <x v="97"/>
    <x v="5"/>
  </r>
  <r>
    <d v="2025-08-28T00:00:00"/>
    <x v="6"/>
    <x v="6"/>
    <x v="3"/>
    <x v="5"/>
    <x v="4"/>
    <x v="7"/>
    <n v="1"/>
    <n v="45"/>
    <n v="200"/>
    <n v="15"/>
    <n v="170"/>
    <n v="125"/>
    <x v="2"/>
    <x v="0"/>
    <x v="98"/>
    <x v="0"/>
  </r>
  <r>
    <d v="2025-08-27T00:00:00"/>
    <x v="6"/>
    <x v="1"/>
    <x v="0"/>
    <x v="4"/>
    <x v="1"/>
    <x v="1"/>
    <n v="1"/>
    <n v="20"/>
    <n v="100"/>
    <n v="5"/>
    <n v="95"/>
    <n v="75"/>
    <x v="1"/>
    <x v="0"/>
    <x v="99"/>
    <x v="2"/>
  </r>
  <r>
    <d v="2025-03-15T00:00:00"/>
    <x v="5"/>
    <x v="3"/>
    <x v="3"/>
    <x v="3"/>
    <x v="3"/>
    <x v="8"/>
    <n v="5"/>
    <n v="40"/>
    <n v="200"/>
    <n v="0"/>
    <n v="1000"/>
    <n v="800"/>
    <x v="0"/>
    <x v="1"/>
    <x v="100"/>
    <x v="5"/>
  </r>
  <r>
    <d v="2025-11-11T00:00:00"/>
    <x v="1"/>
    <x v="5"/>
    <x v="0"/>
    <x v="6"/>
    <x v="4"/>
    <x v="18"/>
    <n v="5"/>
    <n v="112.5"/>
    <n v="100"/>
    <n v="15"/>
    <n v="425"/>
    <n v="-137.5"/>
    <x v="0"/>
    <x v="0"/>
    <x v="101"/>
    <x v="2"/>
  </r>
  <r>
    <d v="2025-05-22T00:00:00"/>
    <x v="4"/>
    <x v="6"/>
    <x v="2"/>
    <x v="3"/>
    <x v="2"/>
    <x v="13"/>
    <n v="1"/>
    <n v="112.5"/>
    <n v="250"/>
    <n v="15"/>
    <n v="212.5"/>
    <n v="100"/>
    <x v="0"/>
    <x v="0"/>
    <x v="86"/>
    <x v="4"/>
  </r>
  <r>
    <d v="2025-04-22T00:00:00"/>
    <x v="2"/>
    <x v="5"/>
    <x v="2"/>
    <x v="2"/>
    <x v="0"/>
    <x v="21"/>
    <n v="2"/>
    <n v="75"/>
    <n v="250"/>
    <n v="10"/>
    <n v="450"/>
    <n v="300"/>
    <x v="1"/>
    <x v="0"/>
    <x v="102"/>
    <x v="2"/>
  </r>
  <r>
    <d v="2025-08-25T00:00:00"/>
    <x v="6"/>
    <x v="4"/>
    <x v="0"/>
    <x v="6"/>
    <x v="4"/>
    <x v="7"/>
    <n v="2"/>
    <n v="67.5"/>
    <n v="100"/>
    <n v="15"/>
    <n v="170"/>
    <n v="35"/>
    <x v="1"/>
    <x v="0"/>
    <x v="103"/>
    <x v="0"/>
  </r>
  <r>
    <d v="2025-10-17T00:00:00"/>
    <x v="9"/>
    <x v="0"/>
    <x v="4"/>
    <x v="5"/>
    <x v="1"/>
    <x v="1"/>
    <n v="1"/>
    <n v="30"/>
    <n v="150"/>
    <n v="20"/>
    <n v="120"/>
    <n v="90"/>
    <x v="1"/>
    <x v="0"/>
    <x v="104"/>
    <x v="0"/>
  </r>
  <r>
    <d v="2025-02-15T00:00:00"/>
    <x v="10"/>
    <x v="3"/>
    <x v="1"/>
    <x v="1"/>
    <x v="4"/>
    <x v="4"/>
    <n v="2"/>
    <n v="67.5"/>
    <n v="250"/>
    <n v="0"/>
    <n v="500"/>
    <n v="365"/>
    <x v="1"/>
    <x v="1"/>
    <x v="105"/>
    <x v="2"/>
  </r>
  <r>
    <d v="2025-06-24T00:00:00"/>
    <x v="7"/>
    <x v="5"/>
    <x v="4"/>
    <x v="0"/>
    <x v="1"/>
    <x v="12"/>
    <n v="5"/>
    <n v="30"/>
    <n v="150"/>
    <n v="10"/>
    <n v="675"/>
    <n v="525"/>
    <x v="1"/>
    <x v="0"/>
    <x v="106"/>
    <x v="4"/>
  </r>
  <r>
    <d v="2025-09-07T00:00:00"/>
    <x v="0"/>
    <x v="2"/>
    <x v="0"/>
    <x v="4"/>
    <x v="3"/>
    <x v="8"/>
    <n v="1"/>
    <n v="60"/>
    <n v="100"/>
    <n v="20"/>
    <n v="80"/>
    <n v="20"/>
    <x v="1"/>
    <x v="0"/>
    <x v="107"/>
    <x v="4"/>
  </r>
  <r>
    <d v="2025-08-19T00:00:00"/>
    <x v="6"/>
    <x v="5"/>
    <x v="2"/>
    <x v="1"/>
    <x v="4"/>
    <x v="7"/>
    <n v="10"/>
    <n v="112.5"/>
    <n v="150"/>
    <n v="10"/>
    <n v="1350"/>
    <n v="225"/>
    <x v="0"/>
    <x v="0"/>
    <x v="108"/>
    <x v="0"/>
  </r>
  <r>
    <d v="2025-02-04T00:00:00"/>
    <x v="10"/>
    <x v="5"/>
    <x v="4"/>
    <x v="5"/>
    <x v="0"/>
    <x v="19"/>
    <n v="2"/>
    <n v="75"/>
    <n v="250"/>
    <n v="15"/>
    <n v="425"/>
    <n v="275"/>
    <x v="0"/>
    <x v="0"/>
    <x v="109"/>
    <x v="3"/>
  </r>
  <r>
    <d v="2025-12-24T00:00:00"/>
    <x v="8"/>
    <x v="1"/>
    <x v="1"/>
    <x v="2"/>
    <x v="2"/>
    <x v="2"/>
    <n v="2"/>
    <n v="67.5"/>
    <n v="150"/>
    <n v="20"/>
    <n v="240"/>
    <n v="105"/>
    <x v="2"/>
    <x v="0"/>
    <x v="110"/>
    <x v="0"/>
  </r>
  <r>
    <d v="2025-04-17T00:00:00"/>
    <x v="2"/>
    <x v="6"/>
    <x v="4"/>
    <x v="2"/>
    <x v="0"/>
    <x v="10"/>
    <n v="1"/>
    <n v="60"/>
    <n v="200"/>
    <n v="10"/>
    <n v="180"/>
    <n v="120"/>
    <x v="1"/>
    <x v="0"/>
    <x v="111"/>
    <x v="1"/>
  </r>
  <r>
    <d v="2025-06-09T00:00:00"/>
    <x v="7"/>
    <x v="4"/>
    <x v="0"/>
    <x v="3"/>
    <x v="3"/>
    <x v="8"/>
    <n v="2"/>
    <n v="20"/>
    <n v="250"/>
    <n v="5"/>
    <n v="475"/>
    <n v="435"/>
    <x v="0"/>
    <x v="0"/>
    <x v="112"/>
    <x v="0"/>
  </r>
  <r>
    <d v="2025-02-25T00:00:00"/>
    <x v="10"/>
    <x v="5"/>
    <x v="1"/>
    <x v="5"/>
    <x v="4"/>
    <x v="4"/>
    <n v="2"/>
    <n v="67.5"/>
    <n v="50"/>
    <n v="0"/>
    <n v="100"/>
    <n v="-35"/>
    <x v="1"/>
    <x v="1"/>
    <x v="113"/>
    <x v="2"/>
  </r>
  <r>
    <d v="2025-04-10T00:00:00"/>
    <x v="2"/>
    <x v="6"/>
    <x v="4"/>
    <x v="0"/>
    <x v="2"/>
    <x v="16"/>
    <n v="3"/>
    <n v="67.5"/>
    <n v="150"/>
    <n v="0"/>
    <n v="450"/>
    <n v="247.5"/>
    <x v="0"/>
    <x v="1"/>
    <x v="114"/>
    <x v="4"/>
  </r>
  <r>
    <d v="2025-04-16T00:00:00"/>
    <x v="2"/>
    <x v="1"/>
    <x v="4"/>
    <x v="5"/>
    <x v="2"/>
    <x v="2"/>
    <n v="5"/>
    <n v="67.5"/>
    <n v="150"/>
    <n v="10"/>
    <n v="675"/>
    <n v="337.5"/>
    <x v="2"/>
    <x v="0"/>
    <x v="115"/>
    <x v="5"/>
  </r>
  <r>
    <d v="2025-01-16T00:00:00"/>
    <x v="3"/>
    <x v="6"/>
    <x v="0"/>
    <x v="2"/>
    <x v="1"/>
    <x v="14"/>
    <n v="3"/>
    <n v="30"/>
    <n v="150"/>
    <n v="20"/>
    <n v="360"/>
    <n v="270"/>
    <x v="0"/>
    <x v="0"/>
    <x v="116"/>
    <x v="0"/>
  </r>
  <r>
    <d v="2025-11-03T00:00:00"/>
    <x v="1"/>
    <x v="4"/>
    <x v="4"/>
    <x v="1"/>
    <x v="4"/>
    <x v="18"/>
    <n v="1"/>
    <n v="67.5"/>
    <n v="250"/>
    <n v="0"/>
    <n v="250"/>
    <n v="182.5"/>
    <x v="1"/>
    <x v="1"/>
    <x v="117"/>
    <x v="3"/>
  </r>
  <r>
    <d v="2025-05-10T00:00:00"/>
    <x v="4"/>
    <x v="3"/>
    <x v="4"/>
    <x v="1"/>
    <x v="3"/>
    <x v="17"/>
    <n v="2"/>
    <n v="60"/>
    <n v="150"/>
    <n v="15"/>
    <n v="255"/>
    <n v="135"/>
    <x v="1"/>
    <x v="0"/>
    <x v="118"/>
    <x v="3"/>
  </r>
  <r>
    <d v="2025-10-18T00:00:00"/>
    <x v="9"/>
    <x v="3"/>
    <x v="2"/>
    <x v="4"/>
    <x v="4"/>
    <x v="11"/>
    <n v="5"/>
    <n v="90"/>
    <n v="150"/>
    <n v="5"/>
    <n v="712.5"/>
    <n v="262.5"/>
    <x v="1"/>
    <x v="0"/>
    <x v="119"/>
    <x v="3"/>
  </r>
  <r>
    <d v="2025-11-12T00:00:00"/>
    <x v="1"/>
    <x v="1"/>
    <x v="4"/>
    <x v="4"/>
    <x v="4"/>
    <x v="7"/>
    <n v="5"/>
    <n v="90"/>
    <n v="200"/>
    <n v="10"/>
    <n v="900"/>
    <n v="450"/>
    <x v="2"/>
    <x v="0"/>
    <x v="120"/>
    <x v="3"/>
  </r>
  <r>
    <d v="2025-10-09T00:00:00"/>
    <x v="9"/>
    <x v="6"/>
    <x v="0"/>
    <x v="2"/>
    <x v="2"/>
    <x v="2"/>
    <n v="1"/>
    <n v="90"/>
    <n v="200"/>
    <n v="0"/>
    <n v="200"/>
    <n v="110"/>
    <x v="0"/>
    <x v="1"/>
    <x v="121"/>
    <x v="3"/>
  </r>
  <r>
    <d v="2025-06-20T00:00:00"/>
    <x v="7"/>
    <x v="0"/>
    <x v="3"/>
    <x v="4"/>
    <x v="0"/>
    <x v="19"/>
    <n v="5"/>
    <n v="45"/>
    <n v="150"/>
    <n v="15"/>
    <n v="637.5"/>
    <n v="412.5"/>
    <x v="0"/>
    <x v="0"/>
    <x v="122"/>
    <x v="1"/>
  </r>
  <r>
    <d v="2025-01-03T00:00:00"/>
    <x v="3"/>
    <x v="0"/>
    <x v="2"/>
    <x v="3"/>
    <x v="1"/>
    <x v="20"/>
    <n v="10"/>
    <n v="30"/>
    <n v="150"/>
    <n v="0"/>
    <n v="1500"/>
    <n v="1200"/>
    <x v="2"/>
    <x v="1"/>
    <x v="123"/>
    <x v="4"/>
  </r>
  <r>
    <d v="2025-05-16T00:00:00"/>
    <x v="4"/>
    <x v="0"/>
    <x v="0"/>
    <x v="6"/>
    <x v="4"/>
    <x v="18"/>
    <n v="5"/>
    <n v="22.5"/>
    <n v="150"/>
    <n v="0"/>
    <n v="750"/>
    <n v="637.5"/>
    <x v="0"/>
    <x v="1"/>
    <x v="90"/>
    <x v="1"/>
  </r>
  <r>
    <d v="2025-08-01T00:00:00"/>
    <x v="6"/>
    <x v="0"/>
    <x v="2"/>
    <x v="1"/>
    <x v="3"/>
    <x v="3"/>
    <n v="2"/>
    <n v="20"/>
    <n v="50"/>
    <n v="0"/>
    <n v="100"/>
    <n v="60"/>
    <x v="2"/>
    <x v="1"/>
    <x v="121"/>
    <x v="4"/>
  </r>
  <r>
    <d v="2025-06-07T00:00:00"/>
    <x v="7"/>
    <x v="3"/>
    <x v="0"/>
    <x v="3"/>
    <x v="4"/>
    <x v="11"/>
    <n v="1"/>
    <n v="90"/>
    <n v="50"/>
    <n v="10"/>
    <n v="45"/>
    <n v="-45"/>
    <x v="2"/>
    <x v="0"/>
    <x v="124"/>
    <x v="2"/>
  </r>
  <r>
    <d v="2025-06-24T00:00:00"/>
    <x v="7"/>
    <x v="5"/>
    <x v="1"/>
    <x v="1"/>
    <x v="1"/>
    <x v="14"/>
    <n v="3"/>
    <n v="40"/>
    <n v="200"/>
    <n v="0"/>
    <n v="600"/>
    <n v="480"/>
    <x v="0"/>
    <x v="1"/>
    <x v="125"/>
    <x v="4"/>
  </r>
  <r>
    <d v="2025-02-01T00:00:00"/>
    <x v="10"/>
    <x v="3"/>
    <x v="2"/>
    <x v="5"/>
    <x v="4"/>
    <x v="18"/>
    <n v="1"/>
    <n v="67.5"/>
    <n v="150"/>
    <n v="0"/>
    <n v="150"/>
    <n v="82.5"/>
    <x v="2"/>
    <x v="1"/>
    <x v="126"/>
    <x v="0"/>
  </r>
  <r>
    <d v="2025-09-10T00:00:00"/>
    <x v="0"/>
    <x v="1"/>
    <x v="4"/>
    <x v="5"/>
    <x v="3"/>
    <x v="8"/>
    <n v="3"/>
    <n v="60"/>
    <n v="150"/>
    <n v="5"/>
    <n v="427.5"/>
    <n v="247.5"/>
    <x v="0"/>
    <x v="0"/>
    <x v="48"/>
    <x v="2"/>
  </r>
  <r>
    <d v="2025-07-05T00:00:00"/>
    <x v="11"/>
    <x v="3"/>
    <x v="4"/>
    <x v="3"/>
    <x v="1"/>
    <x v="9"/>
    <n v="3"/>
    <n v="30"/>
    <n v="150"/>
    <n v="0"/>
    <n v="450"/>
    <n v="360"/>
    <x v="0"/>
    <x v="1"/>
    <x v="127"/>
    <x v="0"/>
  </r>
  <r>
    <d v="2025-03-15T00:00:00"/>
    <x v="5"/>
    <x v="3"/>
    <x v="0"/>
    <x v="5"/>
    <x v="4"/>
    <x v="7"/>
    <n v="10"/>
    <n v="67.5"/>
    <n v="50"/>
    <n v="5"/>
    <n v="475"/>
    <n v="-200"/>
    <x v="2"/>
    <x v="0"/>
    <x v="128"/>
    <x v="0"/>
  </r>
  <r>
    <d v="2025-07-23T00:00:00"/>
    <x v="11"/>
    <x v="1"/>
    <x v="4"/>
    <x v="5"/>
    <x v="1"/>
    <x v="12"/>
    <n v="5"/>
    <n v="30"/>
    <n v="150"/>
    <n v="10"/>
    <n v="675"/>
    <n v="525"/>
    <x v="1"/>
    <x v="0"/>
    <x v="129"/>
    <x v="4"/>
  </r>
  <r>
    <d v="2025-12-07T00:00:00"/>
    <x v="8"/>
    <x v="2"/>
    <x v="0"/>
    <x v="1"/>
    <x v="3"/>
    <x v="8"/>
    <n v="10"/>
    <n v="20"/>
    <n v="250"/>
    <n v="5"/>
    <n v="2375"/>
    <n v="2175"/>
    <x v="0"/>
    <x v="0"/>
    <x v="109"/>
    <x v="0"/>
  </r>
  <r>
    <d v="2025-12-21T00:00:00"/>
    <x v="8"/>
    <x v="2"/>
    <x v="0"/>
    <x v="1"/>
    <x v="2"/>
    <x v="16"/>
    <n v="2"/>
    <n v="22.5"/>
    <n v="50"/>
    <n v="0"/>
    <n v="100"/>
    <n v="55"/>
    <x v="2"/>
    <x v="1"/>
    <x v="130"/>
    <x v="4"/>
  </r>
  <r>
    <d v="2025-04-05T00:00:00"/>
    <x v="2"/>
    <x v="3"/>
    <x v="0"/>
    <x v="4"/>
    <x v="1"/>
    <x v="20"/>
    <n v="3"/>
    <n v="30"/>
    <n v="150"/>
    <n v="0"/>
    <n v="450"/>
    <n v="360"/>
    <x v="2"/>
    <x v="1"/>
    <x v="131"/>
    <x v="2"/>
  </r>
  <r>
    <d v="2025-07-28T00:00:00"/>
    <x v="11"/>
    <x v="4"/>
    <x v="0"/>
    <x v="1"/>
    <x v="1"/>
    <x v="14"/>
    <n v="2"/>
    <n v="10"/>
    <n v="50"/>
    <n v="0"/>
    <n v="100"/>
    <n v="80"/>
    <x v="1"/>
    <x v="1"/>
    <x v="132"/>
    <x v="5"/>
  </r>
  <r>
    <d v="2025-11-04T00:00:00"/>
    <x v="1"/>
    <x v="5"/>
    <x v="2"/>
    <x v="5"/>
    <x v="2"/>
    <x v="2"/>
    <n v="5"/>
    <n v="90"/>
    <n v="200"/>
    <n v="5"/>
    <n v="950"/>
    <n v="500"/>
    <x v="0"/>
    <x v="0"/>
    <x v="133"/>
    <x v="3"/>
  </r>
  <r>
    <d v="2025-08-20T00:00:00"/>
    <x v="6"/>
    <x v="1"/>
    <x v="3"/>
    <x v="1"/>
    <x v="2"/>
    <x v="5"/>
    <n v="2"/>
    <n v="22.5"/>
    <n v="50"/>
    <n v="15"/>
    <n v="85"/>
    <n v="40"/>
    <x v="0"/>
    <x v="0"/>
    <x v="134"/>
    <x v="5"/>
  </r>
  <r>
    <d v="2025-03-20T00:00:00"/>
    <x v="5"/>
    <x v="6"/>
    <x v="4"/>
    <x v="0"/>
    <x v="0"/>
    <x v="22"/>
    <n v="2"/>
    <n v="30"/>
    <n v="100"/>
    <n v="20"/>
    <n v="160"/>
    <n v="100"/>
    <x v="1"/>
    <x v="0"/>
    <x v="135"/>
    <x v="0"/>
  </r>
  <r>
    <d v="2025-07-15T00:00:00"/>
    <x v="11"/>
    <x v="5"/>
    <x v="0"/>
    <x v="4"/>
    <x v="1"/>
    <x v="1"/>
    <n v="10"/>
    <n v="30"/>
    <n v="150"/>
    <n v="20"/>
    <n v="1200"/>
    <n v="900"/>
    <x v="2"/>
    <x v="0"/>
    <x v="136"/>
    <x v="5"/>
  </r>
  <r>
    <d v="2025-02-19T00:00:00"/>
    <x v="10"/>
    <x v="1"/>
    <x v="0"/>
    <x v="1"/>
    <x v="4"/>
    <x v="15"/>
    <n v="10"/>
    <n v="90"/>
    <n v="50"/>
    <n v="15"/>
    <n v="425"/>
    <n v="-475"/>
    <x v="0"/>
    <x v="0"/>
    <x v="137"/>
    <x v="4"/>
  </r>
  <r>
    <d v="2025-10-21T00:00:00"/>
    <x v="9"/>
    <x v="5"/>
    <x v="2"/>
    <x v="6"/>
    <x v="0"/>
    <x v="10"/>
    <n v="3"/>
    <n v="60"/>
    <n v="200"/>
    <n v="20"/>
    <n v="480"/>
    <n v="300"/>
    <x v="0"/>
    <x v="0"/>
    <x v="138"/>
    <x v="0"/>
  </r>
  <r>
    <d v="2025-10-09T00:00:00"/>
    <x v="9"/>
    <x v="6"/>
    <x v="3"/>
    <x v="6"/>
    <x v="2"/>
    <x v="2"/>
    <n v="3"/>
    <n v="45"/>
    <n v="100"/>
    <n v="10"/>
    <n v="270"/>
    <n v="135"/>
    <x v="2"/>
    <x v="0"/>
    <x v="50"/>
    <x v="0"/>
  </r>
  <r>
    <d v="2025-06-08T00:00:00"/>
    <x v="7"/>
    <x v="2"/>
    <x v="1"/>
    <x v="6"/>
    <x v="2"/>
    <x v="13"/>
    <n v="2"/>
    <n v="67.5"/>
    <n v="150"/>
    <n v="10"/>
    <n v="270"/>
    <n v="135"/>
    <x v="2"/>
    <x v="0"/>
    <x v="139"/>
    <x v="1"/>
  </r>
  <r>
    <d v="2025-11-23T00:00:00"/>
    <x v="1"/>
    <x v="2"/>
    <x v="0"/>
    <x v="2"/>
    <x v="0"/>
    <x v="10"/>
    <n v="2"/>
    <n v="45"/>
    <n v="150"/>
    <n v="20"/>
    <n v="240"/>
    <n v="150"/>
    <x v="2"/>
    <x v="0"/>
    <x v="140"/>
    <x v="4"/>
  </r>
  <r>
    <d v="2025-05-13T00:00:00"/>
    <x v="4"/>
    <x v="5"/>
    <x v="2"/>
    <x v="6"/>
    <x v="2"/>
    <x v="16"/>
    <n v="2"/>
    <n v="45"/>
    <n v="100"/>
    <n v="20"/>
    <n v="160"/>
    <n v="70"/>
    <x v="0"/>
    <x v="0"/>
    <x v="141"/>
    <x v="2"/>
  </r>
  <r>
    <d v="2025-12-13T00:00:00"/>
    <x v="8"/>
    <x v="3"/>
    <x v="1"/>
    <x v="6"/>
    <x v="4"/>
    <x v="15"/>
    <n v="2"/>
    <n v="90"/>
    <n v="150"/>
    <n v="10"/>
    <n v="270"/>
    <n v="90"/>
    <x v="1"/>
    <x v="0"/>
    <x v="142"/>
    <x v="5"/>
  </r>
  <r>
    <d v="2025-01-25T00:00:00"/>
    <x v="3"/>
    <x v="3"/>
    <x v="3"/>
    <x v="1"/>
    <x v="3"/>
    <x v="6"/>
    <n v="2"/>
    <n v="20"/>
    <n v="200"/>
    <n v="20"/>
    <n v="320"/>
    <n v="280"/>
    <x v="2"/>
    <x v="0"/>
    <x v="66"/>
    <x v="0"/>
  </r>
  <r>
    <d v="2025-07-07T00:00:00"/>
    <x v="11"/>
    <x v="4"/>
    <x v="0"/>
    <x v="4"/>
    <x v="2"/>
    <x v="16"/>
    <n v="5"/>
    <n v="22.5"/>
    <n v="50"/>
    <n v="0"/>
    <n v="250"/>
    <n v="137.5"/>
    <x v="0"/>
    <x v="1"/>
    <x v="122"/>
    <x v="5"/>
  </r>
  <r>
    <d v="2025-08-10T00:00:00"/>
    <x v="6"/>
    <x v="2"/>
    <x v="1"/>
    <x v="6"/>
    <x v="0"/>
    <x v="21"/>
    <n v="2"/>
    <n v="45"/>
    <n v="150"/>
    <n v="5"/>
    <n v="285"/>
    <n v="195"/>
    <x v="2"/>
    <x v="0"/>
    <x v="143"/>
    <x v="2"/>
  </r>
  <r>
    <d v="2025-04-09T00:00:00"/>
    <x v="2"/>
    <x v="1"/>
    <x v="3"/>
    <x v="4"/>
    <x v="1"/>
    <x v="1"/>
    <n v="5"/>
    <n v="40"/>
    <n v="200"/>
    <n v="10"/>
    <n v="900"/>
    <n v="700"/>
    <x v="1"/>
    <x v="0"/>
    <x v="144"/>
    <x v="3"/>
  </r>
  <r>
    <d v="2025-05-20T00:00:00"/>
    <x v="4"/>
    <x v="5"/>
    <x v="3"/>
    <x v="4"/>
    <x v="1"/>
    <x v="12"/>
    <n v="1"/>
    <n v="30"/>
    <n v="150"/>
    <n v="5"/>
    <n v="142.5"/>
    <n v="112.5"/>
    <x v="2"/>
    <x v="0"/>
    <x v="145"/>
    <x v="5"/>
  </r>
  <r>
    <d v="2025-09-13T00:00:00"/>
    <x v="0"/>
    <x v="3"/>
    <x v="0"/>
    <x v="1"/>
    <x v="3"/>
    <x v="17"/>
    <n v="10"/>
    <n v="20"/>
    <n v="100"/>
    <n v="0"/>
    <n v="1000"/>
    <n v="800"/>
    <x v="0"/>
    <x v="1"/>
    <x v="146"/>
    <x v="0"/>
  </r>
  <r>
    <d v="2025-08-10T00:00:00"/>
    <x v="6"/>
    <x v="2"/>
    <x v="4"/>
    <x v="5"/>
    <x v="0"/>
    <x v="10"/>
    <n v="1"/>
    <n v="15"/>
    <n v="50"/>
    <n v="0"/>
    <n v="50"/>
    <n v="35"/>
    <x v="1"/>
    <x v="1"/>
    <x v="84"/>
    <x v="0"/>
  </r>
  <r>
    <d v="2025-04-12T00:00:00"/>
    <x v="2"/>
    <x v="3"/>
    <x v="1"/>
    <x v="0"/>
    <x v="4"/>
    <x v="18"/>
    <n v="2"/>
    <n v="45"/>
    <n v="100"/>
    <n v="10"/>
    <n v="180"/>
    <n v="90"/>
    <x v="2"/>
    <x v="0"/>
    <x v="104"/>
    <x v="2"/>
  </r>
  <r>
    <d v="2025-03-08T00:00:00"/>
    <x v="5"/>
    <x v="3"/>
    <x v="0"/>
    <x v="6"/>
    <x v="2"/>
    <x v="5"/>
    <n v="3"/>
    <n v="45"/>
    <n v="100"/>
    <n v="0"/>
    <n v="300"/>
    <n v="165"/>
    <x v="0"/>
    <x v="1"/>
    <x v="147"/>
    <x v="0"/>
  </r>
  <r>
    <d v="2025-07-15T00:00:00"/>
    <x v="11"/>
    <x v="5"/>
    <x v="0"/>
    <x v="6"/>
    <x v="3"/>
    <x v="8"/>
    <n v="10"/>
    <n v="20"/>
    <n v="150"/>
    <n v="20"/>
    <n v="1200"/>
    <n v="1000"/>
    <x v="0"/>
    <x v="0"/>
    <x v="82"/>
    <x v="2"/>
  </r>
  <r>
    <d v="2025-04-04T00:00:00"/>
    <x v="2"/>
    <x v="0"/>
    <x v="2"/>
    <x v="2"/>
    <x v="2"/>
    <x v="2"/>
    <n v="5"/>
    <n v="22.5"/>
    <n v="50"/>
    <n v="10"/>
    <n v="225"/>
    <n v="112.5"/>
    <x v="0"/>
    <x v="0"/>
    <x v="148"/>
    <x v="3"/>
  </r>
  <r>
    <d v="2025-07-17T00:00:00"/>
    <x v="11"/>
    <x v="6"/>
    <x v="3"/>
    <x v="6"/>
    <x v="1"/>
    <x v="20"/>
    <n v="5"/>
    <n v="20"/>
    <n v="100"/>
    <n v="5"/>
    <n v="475"/>
    <n v="375"/>
    <x v="2"/>
    <x v="0"/>
    <x v="149"/>
    <x v="0"/>
  </r>
  <r>
    <d v="2025-09-12T00:00:00"/>
    <x v="0"/>
    <x v="0"/>
    <x v="3"/>
    <x v="2"/>
    <x v="2"/>
    <x v="16"/>
    <n v="1"/>
    <n v="67.5"/>
    <n v="150"/>
    <n v="0"/>
    <n v="150"/>
    <n v="82.5"/>
    <x v="2"/>
    <x v="1"/>
    <x v="150"/>
    <x v="1"/>
  </r>
  <r>
    <d v="2025-07-09T00:00:00"/>
    <x v="11"/>
    <x v="1"/>
    <x v="3"/>
    <x v="6"/>
    <x v="3"/>
    <x v="3"/>
    <n v="2"/>
    <n v="60"/>
    <n v="200"/>
    <n v="15"/>
    <n v="340"/>
    <n v="220"/>
    <x v="0"/>
    <x v="0"/>
    <x v="151"/>
    <x v="4"/>
  </r>
  <r>
    <d v="2025-01-21T00:00:00"/>
    <x v="3"/>
    <x v="5"/>
    <x v="2"/>
    <x v="4"/>
    <x v="2"/>
    <x v="13"/>
    <n v="3"/>
    <n v="67.5"/>
    <n v="150"/>
    <n v="0"/>
    <n v="450"/>
    <n v="247.5"/>
    <x v="2"/>
    <x v="1"/>
    <x v="152"/>
    <x v="0"/>
  </r>
  <r>
    <d v="2025-09-19T00:00:00"/>
    <x v="0"/>
    <x v="0"/>
    <x v="4"/>
    <x v="1"/>
    <x v="3"/>
    <x v="17"/>
    <n v="5"/>
    <n v="80"/>
    <n v="250"/>
    <n v="0"/>
    <n v="1250"/>
    <n v="850"/>
    <x v="1"/>
    <x v="1"/>
    <x v="153"/>
    <x v="3"/>
  </r>
  <r>
    <d v="2025-08-04T00:00:00"/>
    <x v="6"/>
    <x v="4"/>
    <x v="4"/>
    <x v="1"/>
    <x v="0"/>
    <x v="0"/>
    <n v="2"/>
    <n v="60"/>
    <n v="200"/>
    <n v="0"/>
    <n v="400"/>
    <n v="280"/>
    <x v="2"/>
    <x v="1"/>
    <x v="154"/>
    <x v="3"/>
  </r>
  <r>
    <d v="2025-11-17T00:00:00"/>
    <x v="1"/>
    <x v="4"/>
    <x v="2"/>
    <x v="3"/>
    <x v="0"/>
    <x v="19"/>
    <n v="2"/>
    <n v="45"/>
    <n v="150"/>
    <n v="0"/>
    <n v="300"/>
    <n v="210"/>
    <x v="0"/>
    <x v="1"/>
    <x v="155"/>
    <x v="4"/>
  </r>
  <r>
    <d v="2025-11-07T00:00:00"/>
    <x v="1"/>
    <x v="0"/>
    <x v="2"/>
    <x v="2"/>
    <x v="1"/>
    <x v="12"/>
    <n v="5"/>
    <n v="30"/>
    <n v="150"/>
    <n v="0"/>
    <n v="750"/>
    <n v="600"/>
    <x v="1"/>
    <x v="1"/>
    <x v="156"/>
    <x v="0"/>
  </r>
  <r>
    <d v="2025-08-03T00:00:00"/>
    <x v="6"/>
    <x v="2"/>
    <x v="0"/>
    <x v="6"/>
    <x v="2"/>
    <x v="13"/>
    <n v="3"/>
    <n v="67.5"/>
    <n v="150"/>
    <n v="0"/>
    <n v="450"/>
    <n v="247.5"/>
    <x v="0"/>
    <x v="1"/>
    <x v="157"/>
    <x v="0"/>
  </r>
  <r>
    <d v="2025-06-22T00:00:00"/>
    <x v="7"/>
    <x v="2"/>
    <x v="2"/>
    <x v="3"/>
    <x v="2"/>
    <x v="2"/>
    <n v="5"/>
    <n v="90"/>
    <n v="200"/>
    <n v="20"/>
    <n v="800"/>
    <n v="350"/>
    <x v="1"/>
    <x v="0"/>
    <x v="158"/>
    <x v="2"/>
  </r>
  <r>
    <d v="2025-08-28T00:00:00"/>
    <x v="6"/>
    <x v="6"/>
    <x v="4"/>
    <x v="3"/>
    <x v="4"/>
    <x v="4"/>
    <n v="5"/>
    <n v="67.5"/>
    <n v="100"/>
    <n v="0"/>
    <n v="500"/>
    <n v="162.5"/>
    <x v="0"/>
    <x v="1"/>
    <x v="159"/>
    <x v="2"/>
  </r>
  <r>
    <d v="2025-02-12T00:00:00"/>
    <x v="10"/>
    <x v="1"/>
    <x v="3"/>
    <x v="4"/>
    <x v="0"/>
    <x v="21"/>
    <n v="1"/>
    <n v="45"/>
    <n v="150"/>
    <n v="0"/>
    <n v="150"/>
    <n v="105"/>
    <x v="0"/>
    <x v="1"/>
    <x v="160"/>
    <x v="5"/>
  </r>
  <r>
    <d v="2025-10-08T00:00:00"/>
    <x v="9"/>
    <x v="1"/>
    <x v="0"/>
    <x v="5"/>
    <x v="4"/>
    <x v="18"/>
    <n v="5"/>
    <n v="90"/>
    <n v="150"/>
    <n v="5"/>
    <n v="712.5"/>
    <n v="262.5"/>
    <x v="0"/>
    <x v="0"/>
    <x v="161"/>
    <x v="0"/>
  </r>
  <r>
    <d v="2025-12-07T00:00:00"/>
    <x v="8"/>
    <x v="2"/>
    <x v="3"/>
    <x v="0"/>
    <x v="0"/>
    <x v="10"/>
    <n v="2"/>
    <n v="60"/>
    <n v="200"/>
    <n v="5"/>
    <n v="380"/>
    <n v="260"/>
    <x v="1"/>
    <x v="0"/>
    <x v="68"/>
    <x v="0"/>
  </r>
  <r>
    <d v="2025-05-03T00:00:00"/>
    <x v="4"/>
    <x v="3"/>
    <x v="4"/>
    <x v="3"/>
    <x v="0"/>
    <x v="22"/>
    <n v="2"/>
    <n v="75"/>
    <n v="250"/>
    <n v="15"/>
    <n v="425"/>
    <n v="275"/>
    <x v="0"/>
    <x v="0"/>
    <x v="162"/>
    <x v="0"/>
  </r>
  <r>
    <d v="2025-01-19T00:00:00"/>
    <x v="3"/>
    <x v="2"/>
    <x v="4"/>
    <x v="5"/>
    <x v="2"/>
    <x v="16"/>
    <n v="1"/>
    <n v="90"/>
    <n v="200"/>
    <n v="15"/>
    <n v="170"/>
    <n v="80"/>
    <x v="0"/>
    <x v="0"/>
    <x v="163"/>
    <x v="3"/>
  </r>
  <r>
    <d v="2025-05-27T00:00:00"/>
    <x v="4"/>
    <x v="5"/>
    <x v="2"/>
    <x v="6"/>
    <x v="0"/>
    <x v="0"/>
    <n v="1"/>
    <n v="75"/>
    <n v="250"/>
    <n v="5"/>
    <n v="237.5"/>
    <n v="162.5"/>
    <x v="1"/>
    <x v="0"/>
    <x v="164"/>
    <x v="0"/>
  </r>
  <r>
    <d v="2025-02-13T00:00:00"/>
    <x v="10"/>
    <x v="6"/>
    <x v="3"/>
    <x v="0"/>
    <x v="1"/>
    <x v="14"/>
    <n v="3"/>
    <n v="30"/>
    <n v="150"/>
    <n v="15"/>
    <n v="382.5"/>
    <n v="292.5"/>
    <x v="2"/>
    <x v="0"/>
    <x v="165"/>
    <x v="3"/>
  </r>
  <r>
    <d v="2025-05-26T00:00:00"/>
    <x v="4"/>
    <x v="4"/>
    <x v="0"/>
    <x v="0"/>
    <x v="2"/>
    <x v="2"/>
    <n v="1"/>
    <n v="45"/>
    <n v="100"/>
    <n v="0"/>
    <n v="100"/>
    <n v="55"/>
    <x v="0"/>
    <x v="1"/>
    <x v="166"/>
    <x v="2"/>
  </r>
  <r>
    <d v="2025-02-23T00:00:00"/>
    <x v="10"/>
    <x v="2"/>
    <x v="4"/>
    <x v="3"/>
    <x v="4"/>
    <x v="4"/>
    <n v="1"/>
    <n v="67.5"/>
    <n v="150"/>
    <n v="10"/>
    <n v="135"/>
    <n v="67.5"/>
    <x v="1"/>
    <x v="0"/>
    <x v="167"/>
    <x v="0"/>
  </r>
  <r>
    <d v="2025-06-10T00:00:00"/>
    <x v="7"/>
    <x v="5"/>
    <x v="3"/>
    <x v="4"/>
    <x v="1"/>
    <x v="9"/>
    <n v="1"/>
    <n v="30"/>
    <n v="150"/>
    <n v="5"/>
    <n v="142.5"/>
    <n v="112.5"/>
    <x v="2"/>
    <x v="0"/>
    <x v="168"/>
    <x v="1"/>
  </r>
  <r>
    <d v="2025-06-20T00:00:00"/>
    <x v="7"/>
    <x v="0"/>
    <x v="1"/>
    <x v="3"/>
    <x v="4"/>
    <x v="7"/>
    <n v="2"/>
    <n v="112.5"/>
    <n v="200"/>
    <n v="0"/>
    <n v="400"/>
    <n v="175"/>
    <x v="0"/>
    <x v="1"/>
    <x v="169"/>
    <x v="0"/>
  </r>
  <r>
    <d v="2025-04-20T00:00:00"/>
    <x v="2"/>
    <x v="2"/>
    <x v="0"/>
    <x v="1"/>
    <x v="3"/>
    <x v="8"/>
    <n v="2"/>
    <n v="80"/>
    <n v="250"/>
    <n v="20"/>
    <n v="400"/>
    <n v="240"/>
    <x v="1"/>
    <x v="0"/>
    <x v="170"/>
    <x v="4"/>
  </r>
  <r>
    <d v="2025-06-24T00:00:00"/>
    <x v="7"/>
    <x v="5"/>
    <x v="2"/>
    <x v="4"/>
    <x v="3"/>
    <x v="8"/>
    <n v="2"/>
    <n v="100"/>
    <n v="200"/>
    <n v="0"/>
    <n v="400"/>
    <n v="200"/>
    <x v="0"/>
    <x v="1"/>
    <x v="171"/>
    <x v="1"/>
  </r>
  <r>
    <d v="2025-01-02T00:00:00"/>
    <x v="3"/>
    <x v="6"/>
    <x v="2"/>
    <x v="6"/>
    <x v="1"/>
    <x v="14"/>
    <n v="2"/>
    <n v="50"/>
    <n v="250"/>
    <n v="20"/>
    <n v="400"/>
    <n v="300"/>
    <x v="2"/>
    <x v="0"/>
    <x v="172"/>
    <x v="5"/>
  </r>
  <r>
    <d v="2025-03-21T00:00:00"/>
    <x v="5"/>
    <x v="0"/>
    <x v="2"/>
    <x v="0"/>
    <x v="4"/>
    <x v="18"/>
    <n v="3"/>
    <n v="67.5"/>
    <n v="150"/>
    <n v="0"/>
    <n v="450"/>
    <n v="247.5"/>
    <x v="0"/>
    <x v="1"/>
    <x v="173"/>
    <x v="1"/>
  </r>
  <r>
    <d v="2025-09-18T00:00:00"/>
    <x v="0"/>
    <x v="6"/>
    <x v="1"/>
    <x v="3"/>
    <x v="0"/>
    <x v="21"/>
    <n v="5"/>
    <n v="45"/>
    <n v="150"/>
    <n v="0"/>
    <n v="750"/>
    <n v="525"/>
    <x v="0"/>
    <x v="1"/>
    <x v="174"/>
    <x v="5"/>
  </r>
  <r>
    <d v="2025-10-04T00:00:00"/>
    <x v="9"/>
    <x v="3"/>
    <x v="3"/>
    <x v="0"/>
    <x v="3"/>
    <x v="17"/>
    <n v="10"/>
    <n v="60"/>
    <n v="100"/>
    <n v="15"/>
    <n v="850"/>
    <n v="250"/>
    <x v="0"/>
    <x v="0"/>
    <x v="175"/>
    <x v="4"/>
  </r>
  <r>
    <d v="2025-08-25T00:00:00"/>
    <x v="6"/>
    <x v="4"/>
    <x v="1"/>
    <x v="4"/>
    <x v="2"/>
    <x v="13"/>
    <n v="5"/>
    <n v="67.5"/>
    <n v="150"/>
    <n v="10"/>
    <n v="675"/>
    <n v="337.5"/>
    <x v="2"/>
    <x v="0"/>
    <x v="85"/>
    <x v="1"/>
  </r>
  <r>
    <d v="2025-12-10T00:00:00"/>
    <x v="8"/>
    <x v="1"/>
    <x v="4"/>
    <x v="5"/>
    <x v="2"/>
    <x v="5"/>
    <n v="5"/>
    <n v="22.5"/>
    <n v="50"/>
    <n v="0"/>
    <n v="250"/>
    <n v="137.5"/>
    <x v="2"/>
    <x v="1"/>
    <x v="176"/>
    <x v="3"/>
  </r>
  <r>
    <d v="2025-01-04T00:00:00"/>
    <x v="3"/>
    <x v="3"/>
    <x v="0"/>
    <x v="4"/>
    <x v="4"/>
    <x v="7"/>
    <n v="10"/>
    <n v="22.5"/>
    <n v="50"/>
    <n v="0"/>
    <n v="500"/>
    <n v="275"/>
    <x v="1"/>
    <x v="1"/>
    <x v="177"/>
    <x v="0"/>
  </r>
  <r>
    <d v="2025-01-14T00:00:00"/>
    <x v="3"/>
    <x v="5"/>
    <x v="1"/>
    <x v="0"/>
    <x v="4"/>
    <x v="18"/>
    <n v="10"/>
    <n v="45"/>
    <n v="50"/>
    <n v="20"/>
    <n v="400"/>
    <n v="-50"/>
    <x v="2"/>
    <x v="0"/>
    <x v="178"/>
    <x v="0"/>
  </r>
  <r>
    <d v="2025-07-19T00:00:00"/>
    <x v="11"/>
    <x v="3"/>
    <x v="3"/>
    <x v="1"/>
    <x v="4"/>
    <x v="11"/>
    <n v="2"/>
    <n v="112.5"/>
    <n v="100"/>
    <n v="5"/>
    <n v="190"/>
    <n v="-35"/>
    <x v="1"/>
    <x v="0"/>
    <x v="179"/>
    <x v="4"/>
  </r>
  <r>
    <d v="2025-03-04T00:00:00"/>
    <x v="5"/>
    <x v="5"/>
    <x v="1"/>
    <x v="5"/>
    <x v="3"/>
    <x v="6"/>
    <n v="5"/>
    <n v="100"/>
    <n v="250"/>
    <n v="5"/>
    <n v="1187.5"/>
    <n v="687.5"/>
    <x v="1"/>
    <x v="0"/>
    <x v="49"/>
    <x v="0"/>
  </r>
  <r>
    <d v="2025-06-28T00:00:00"/>
    <x v="7"/>
    <x v="3"/>
    <x v="2"/>
    <x v="2"/>
    <x v="4"/>
    <x v="7"/>
    <n v="2"/>
    <n v="67.5"/>
    <n v="250"/>
    <n v="10"/>
    <n v="450"/>
    <n v="315"/>
    <x v="2"/>
    <x v="0"/>
    <x v="180"/>
    <x v="2"/>
  </r>
  <r>
    <d v="2025-04-03T00:00:00"/>
    <x v="2"/>
    <x v="6"/>
    <x v="4"/>
    <x v="3"/>
    <x v="2"/>
    <x v="2"/>
    <n v="3"/>
    <n v="67.5"/>
    <n v="150"/>
    <n v="15"/>
    <n v="382.5"/>
    <n v="180"/>
    <x v="1"/>
    <x v="0"/>
    <x v="181"/>
    <x v="4"/>
  </r>
  <r>
    <d v="2025-11-11T00:00:00"/>
    <x v="1"/>
    <x v="5"/>
    <x v="3"/>
    <x v="0"/>
    <x v="0"/>
    <x v="19"/>
    <n v="2"/>
    <n v="45"/>
    <n v="150"/>
    <n v="10"/>
    <n v="270"/>
    <n v="180"/>
    <x v="0"/>
    <x v="0"/>
    <x v="182"/>
    <x v="5"/>
  </r>
  <r>
    <d v="2025-12-04T00:00:00"/>
    <x v="8"/>
    <x v="6"/>
    <x v="1"/>
    <x v="3"/>
    <x v="0"/>
    <x v="19"/>
    <n v="3"/>
    <n v="15"/>
    <n v="50"/>
    <n v="20"/>
    <n v="120"/>
    <n v="75"/>
    <x v="1"/>
    <x v="0"/>
    <x v="183"/>
    <x v="0"/>
  </r>
  <r>
    <d v="2025-02-13T00:00:00"/>
    <x v="10"/>
    <x v="6"/>
    <x v="2"/>
    <x v="6"/>
    <x v="1"/>
    <x v="12"/>
    <n v="5"/>
    <n v="10"/>
    <n v="50"/>
    <n v="15"/>
    <n v="212.5"/>
    <n v="162.5"/>
    <x v="2"/>
    <x v="0"/>
    <x v="180"/>
    <x v="3"/>
  </r>
  <r>
    <d v="2025-11-07T00:00:00"/>
    <x v="1"/>
    <x v="0"/>
    <x v="1"/>
    <x v="6"/>
    <x v="0"/>
    <x v="21"/>
    <n v="3"/>
    <n v="45"/>
    <n v="150"/>
    <n v="5"/>
    <n v="427.5"/>
    <n v="292.5"/>
    <x v="1"/>
    <x v="0"/>
    <x v="5"/>
    <x v="4"/>
  </r>
  <r>
    <d v="2025-06-18T00:00:00"/>
    <x v="7"/>
    <x v="1"/>
    <x v="1"/>
    <x v="2"/>
    <x v="4"/>
    <x v="11"/>
    <n v="2"/>
    <n v="22.5"/>
    <n v="150"/>
    <n v="20"/>
    <n v="240"/>
    <n v="195"/>
    <x v="1"/>
    <x v="0"/>
    <x v="184"/>
    <x v="1"/>
  </r>
  <r>
    <d v="2025-06-24T00:00:00"/>
    <x v="7"/>
    <x v="5"/>
    <x v="0"/>
    <x v="1"/>
    <x v="3"/>
    <x v="17"/>
    <n v="10"/>
    <n v="60"/>
    <n v="50"/>
    <n v="0"/>
    <n v="500"/>
    <n v="-100"/>
    <x v="0"/>
    <x v="1"/>
    <x v="185"/>
    <x v="0"/>
  </r>
  <r>
    <d v="2025-09-20T00:00:00"/>
    <x v="0"/>
    <x v="3"/>
    <x v="0"/>
    <x v="5"/>
    <x v="2"/>
    <x v="2"/>
    <n v="2"/>
    <n v="67.5"/>
    <n v="150"/>
    <n v="5"/>
    <n v="285"/>
    <n v="150"/>
    <x v="1"/>
    <x v="0"/>
    <x v="186"/>
    <x v="0"/>
  </r>
  <r>
    <d v="2025-02-11T00:00:00"/>
    <x v="10"/>
    <x v="5"/>
    <x v="3"/>
    <x v="6"/>
    <x v="3"/>
    <x v="6"/>
    <n v="10"/>
    <n v="60"/>
    <n v="50"/>
    <n v="20"/>
    <n v="400"/>
    <n v="-200"/>
    <x v="0"/>
    <x v="0"/>
    <x v="187"/>
    <x v="0"/>
  </r>
  <r>
    <d v="2025-06-01T00:00:00"/>
    <x v="7"/>
    <x v="2"/>
    <x v="1"/>
    <x v="3"/>
    <x v="4"/>
    <x v="11"/>
    <n v="10"/>
    <n v="45"/>
    <n v="150"/>
    <n v="15"/>
    <n v="1275"/>
    <n v="825"/>
    <x v="1"/>
    <x v="0"/>
    <x v="109"/>
    <x v="3"/>
  </r>
  <r>
    <d v="2025-11-05T00:00:00"/>
    <x v="1"/>
    <x v="1"/>
    <x v="2"/>
    <x v="5"/>
    <x v="1"/>
    <x v="1"/>
    <n v="5"/>
    <n v="20"/>
    <n v="100"/>
    <n v="10"/>
    <n v="450"/>
    <n v="350"/>
    <x v="2"/>
    <x v="0"/>
    <x v="120"/>
    <x v="2"/>
  </r>
  <r>
    <d v="2025-12-07T00:00:00"/>
    <x v="8"/>
    <x v="2"/>
    <x v="4"/>
    <x v="4"/>
    <x v="4"/>
    <x v="11"/>
    <n v="10"/>
    <n v="112.5"/>
    <n v="100"/>
    <n v="20"/>
    <n v="800"/>
    <n v="-325"/>
    <x v="0"/>
    <x v="0"/>
    <x v="188"/>
    <x v="0"/>
  </r>
  <r>
    <d v="2025-09-02T00:00:00"/>
    <x v="0"/>
    <x v="5"/>
    <x v="1"/>
    <x v="2"/>
    <x v="2"/>
    <x v="5"/>
    <n v="10"/>
    <n v="112.5"/>
    <n v="250"/>
    <n v="5"/>
    <n v="2375"/>
    <n v="1250"/>
    <x v="0"/>
    <x v="0"/>
    <x v="156"/>
    <x v="3"/>
  </r>
  <r>
    <d v="2025-03-17T00:00:00"/>
    <x v="5"/>
    <x v="4"/>
    <x v="2"/>
    <x v="0"/>
    <x v="3"/>
    <x v="6"/>
    <n v="2"/>
    <n v="60"/>
    <n v="250"/>
    <n v="20"/>
    <n v="400"/>
    <n v="280"/>
    <x v="1"/>
    <x v="0"/>
    <x v="189"/>
    <x v="4"/>
  </r>
  <r>
    <d v="2025-12-11T00:00:00"/>
    <x v="8"/>
    <x v="6"/>
    <x v="1"/>
    <x v="5"/>
    <x v="2"/>
    <x v="13"/>
    <n v="2"/>
    <n v="67.5"/>
    <n v="150"/>
    <n v="0"/>
    <n v="300"/>
    <n v="165"/>
    <x v="2"/>
    <x v="1"/>
    <x v="190"/>
    <x v="0"/>
  </r>
  <r>
    <d v="2025-05-02T00:00:00"/>
    <x v="4"/>
    <x v="0"/>
    <x v="1"/>
    <x v="6"/>
    <x v="4"/>
    <x v="4"/>
    <n v="2"/>
    <n v="67.5"/>
    <n v="200"/>
    <n v="20"/>
    <n v="320"/>
    <n v="185"/>
    <x v="1"/>
    <x v="0"/>
    <x v="191"/>
    <x v="1"/>
  </r>
  <r>
    <d v="2025-04-24T00:00:00"/>
    <x v="2"/>
    <x v="6"/>
    <x v="0"/>
    <x v="3"/>
    <x v="2"/>
    <x v="13"/>
    <n v="5"/>
    <n v="67.5"/>
    <n v="150"/>
    <n v="0"/>
    <n v="750"/>
    <n v="412.5"/>
    <x v="1"/>
    <x v="1"/>
    <x v="192"/>
    <x v="0"/>
  </r>
  <r>
    <d v="2025-10-26T00:00:00"/>
    <x v="9"/>
    <x v="2"/>
    <x v="4"/>
    <x v="5"/>
    <x v="0"/>
    <x v="22"/>
    <n v="3"/>
    <n v="30"/>
    <n v="100"/>
    <n v="15"/>
    <n v="255"/>
    <n v="165"/>
    <x v="1"/>
    <x v="0"/>
    <x v="103"/>
    <x v="0"/>
  </r>
  <r>
    <d v="2025-02-18T00:00:00"/>
    <x v="10"/>
    <x v="5"/>
    <x v="1"/>
    <x v="1"/>
    <x v="3"/>
    <x v="17"/>
    <n v="2"/>
    <n v="60"/>
    <n v="100"/>
    <n v="10"/>
    <n v="180"/>
    <n v="60"/>
    <x v="2"/>
    <x v="0"/>
    <x v="190"/>
    <x v="2"/>
  </r>
  <r>
    <d v="2025-05-07T00:00:00"/>
    <x v="4"/>
    <x v="1"/>
    <x v="4"/>
    <x v="5"/>
    <x v="3"/>
    <x v="17"/>
    <n v="1"/>
    <n v="100"/>
    <n v="150"/>
    <n v="20"/>
    <n v="120"/>
    <n v="20"/>
    <x v="0"/>
    <x v="0"/>
    <x v="193"/>
    <x v="0"/>
  </r>
  <r>
    <d v="2025-05-19T00:00:00"/>
    <x v="4"/>
    <x v="4"/>
    <x v="2"/>
    <x v="2"/>
    <x v="3"/>
    <x v="8"/>
    <n v="5"/>
    <n v="60"/>
    <n v="250"/>
    <n v="10"/>
    <n v="1125"/>
    <n v="825"/>
    <x v="0"/>
    <x v="0"/>
    <x v="194"/>
    <x v="4"/>
  </r>
  <r>
    <d v="2025-07-22T00:00:00"/>
    <x v="11"/>
    <x v="5"/>
    <x v="2"/>
    <x v="3"/>
    <x v="1"/>
    <x v="12"/>
    <n v="5"/>
    <n v="30"/>
    <n v="150"/>
    <n v="15"/>
    <n v="637.5"/>
    <n v="487.5"/>
    <x v="1"/>
    <x v="0"/>
    <x v="195"/>
    <x v="4"/>
  </r>
  <r>
    <d v="2025-02-13T00:00:00"/>
    <x v="10"/>
    <x v="6"/>
    <x v="1"/>
    <x v="4"/>
    <x v="2"/>
    <x v="13"/>
    <n v="3"/>
    <n v="67.5"/>
    <n v="150"/>
    <n v="10"/>
    <n v="405"/>
    <n v="202.5"/>
    <x v="2"/>
    <x v="0"/>
    <x v="196"/>
    <x v="0"/>
  </r>
  <r>
    <d v="2025-08-11T00:00:00"/>
    <x v="6"/>
    <x v="4"/>
    <x v="2"/>
    <x v="6"/>
    <x v="4"/>
    <x v="7"/>
    <n v="2"/>
    <n v="112.5"/>
    <n v="150"/>
    <n v="0"/>
    <n v="300"/>
    <n v="75"/>
    <x v="1"/>
    <x v="1"/>
    <x v="197"/>
    <x v="1"/>
  </r>
  <r>
    <d v="2025-07-14T00:00:00"/>
    <x v="11"/>
    <x v="4"/>
    <x v="4"/>
    <x v="3"/>
    <x v="0"/>
    <x v="22"/>
    <n v="1"/>
    <n v="75"/>
    <n v="250"/>
    <n v="0"/>
    <n v="250"/>
    <n v="175"/>
    <x v="2"/>
    <x v="1"/>
    <x v="198"/>
    <x v="3"/>
  </r>
  <r>
    <d v="2025-03-27T00:00:00"/>
    <x v="5"/>
    <x v="6"/>
    <x v="0"/>
    <x v="5"/>
    <x v="2"/>
    <x v="5"/>
    <n v="2"/>
    <n v="67.5"/>
    <n v="150"/>
    <n v="15"/>
    <n v="255"/>
    <n v="120"/>
    <x v="1"/>
    <x v="0"/>
    <x v="199"/>
    <x v="5"/>
  </r>
  <r>
    <d v="2025-11-25T00:00:00"/>
    <x v="1"/>
    <x v="5"/>
    <x v="1"/>
    <x v="2"/>
    <x v="1"/>
    <x v="20"/>
    <n v="2"/>
    <n v="10"/>
    <n v="50"/>
    <n v="10"/>
    <n v="90"/>
    <n v="70"/>
    <x v="1"/>
    <x v="0"/>
    <x v="200"/>
    <x v="1"/>
  </r>
  <r>
    <d v="2025-07-23T00:00:00"/>
    <x v="11"/>
    <x v="1"/>
    <x v="0"/>
    <x v="3"/>
    <x v="0"/>
    <x v="21"/>
    <n v="10"/>
    <n v="45"/>
    <n v="150"/>
    <n v="5"/>
    <n v="1425"/>
    <n v="975"/>
    <x v="0"/>
    <x v="0"/>
    <x v="46"/>
    <x v="0"/>
  </r>
  <r>
    <d v="2025-10-19T00:00:00"/>
    <x v="9"/>
    <x v="2"/>
    <x v="3"/>
    <x v="1"/>
    <x v="0"/>
    <x v="19"/>
    <n v="1"/>
    <n v="15"/>
    <n v="50"/>
    <n v="0"/>
    <n v="50"/>
    <n v="35"/>
    <x v="2"/>
    <x v="1"/>
    <x v="201"/>
    <x v="0"/>
  </r>
  <r>
    <d v="2025-11-19T00:00:00"/>
    <x v="1"/>
    <x v="1"/>
    <x v="0"/>
    <x v="5"/>
    <x v="1"/>
    <x v="1"/>
    <n v="2"/>
    <n v="40"/>
    <n v="200"/>
    <n v="0"/>
    <n v="400"/>
    <n v="320"/>
    <x v="0"/>
    <x v="1"/>
    <x v="202"/>
    <x v="1"/>
  </r>
  <r>
    <d v="2025-11-03T00:00:00"/>
    <x v="1"/>
    <x v="4"/>
    <x v="3"/>
    <x v="5"/>
    <x v="1"/>
    <x v="12"/>
    <n v="10"/>
    <n v="30"/>
    <n v="150"/>
    <n v="5"/>
    <n v="1425"/>
    <n v="1125"/>
    <x v="0"/>
    <x v="0"/>
    <x v="203"/>
    <x v="0"/>
  </r>
  <r>
    <d v="2025-12-16T00:00:00"/>
    <x v="8"/>
    <x v="5"/>
    <x v="1"/>
    <x v="2"/>
    <x v="0"/>
    <x v="22"/>
    <n v="2"/>
    <n v="45"/>
    <n v="150"/>
    <n v="20"/>
    <n v="240"/>
    <n v="150"/>
    <x v="0"/>
    <x v="0"/>
    <x v="204"/>
    <x v="2"/>
  </r>
  <r>
    <d v="2025-09-11T00:00:00"/>
    <x v="0"/>
    <x v="6"/>
    <x v="4"/>
    <x v="2"/>
    <x v="4"/>
    <x v="11"/>
    <n v="10"/>
    <n v="67.5"/>
    <n v="150"/>
    <n v="5"/>
    <n v="1425"/>
    <n v="750"/>
    <x v="0"/>
    <x v="0"/>
    <x v="205"/>
    <x v="1"/>
  </r>
  <r>
    <d v="2025-10-26T00:00:00"/>
    <x v="9"/>
    <x v="2"/>
    <x v="4"/>
    <x v="4"/>
    <x v="3"/>
    <x v="17"/>
    <n v="3"/>
    <n v="60"/>
    <n v="150"/>
    <n v="0"/>
    <n v="450"/>
    <n v="270"/>
    <x v="1"/>
    <x v="1"/>
    <x v="206"/>
    <x v="3"/>
  </r>
  <r>
    <d v="2025-02-06T00:00:00"/>
    <x v="10"/>
    <x v="6"/>
    <x v="1"/>
    <x v="2"/>
    <x v="2"/>
    <x v="2"/>
    <n v="1"/>
    <n v="67.5"/>
    <n v="150"/>
    <n v="10"/>
    <n v="135"/>
    <n v="67.5"/>
    <x v="2"/>
    <x v="0"/>
    <x v="207"/>
    <x v="3"/>
  </r>
  <r>
    <d v="2025-05-06T00:00:00"/>
    <x v="4"/>
    <x v="5"/>
    <x v="3"/>
    <x v="4"/>
    <x v="0"/>
    <x v="22"/>
    <n v="5"/>
    <n v="15"/>
    <n v="50"/>
    <n v="5"/>
    <n v="237.5"/>
    <n v="162.5"/>
    <x v="0"/>
    <x v="0"/>
    <x v="208"/>
    <x v="0"/>
  </r>
  <r>
    <d v="2025-06-01T00:00:00"/>
    <x v="7"/>
    <x v="2"/>
    <x v="0"/>
    <x v="5"/>
    <x v="3"/>
    <x v="8"/>
    <n v="1"/>
    <n v="40"/>
    <n v="50"/>
    <n v="20"/>
    <n v="40"/>
    <n v="0"/>
    <x v="1"/>
    <x v="0"/>
    <x v="209"/>
    <x v="5"/>
  </r>
  <r>
    <d v="2025-03-22T00:00:00"/>
    <x v="5"/>
    <x v="3"/>
    <x v="4"/>
    <x v="3"/>
    <x v="4"/>
    <x v="11"/>
    <n v="10"/>
    <n v="45"/>
    <n v="100"/>
    <n v="0"/>
    <n v="1000"/>
    <n v="550"/>
    <x v="0"/>
    <x v="1"/>
    <x v="52"/>
    <x v="0"/>
  </r>
  <r>
    <d v="2025-01-17T00:00:00"/>
    <x v="3"/>
    <x v="0"/>
    <x v="3"/>
    <x v="6"/>
    <x v="0"/>
    <x v="19"/>
    <n v="2"/>
    <n v="30"/>
    <n v="100"/>
    <n v="10"/>
    <n v="180"/>
    <n v="120"/>
    <x v="2"/>
    <x v="0"/>
    <x v="210"/>
    <x v="1"/>
  </r>
  <r>
    <d v="2025-02-25T00:00:00"/>
    <x v="10"/>
    <x v="5"/>
    <x v="3"/>
    <x v="5"/>
    <x v="0"/>
    <x v="21"/>
    <n v="2"/>
    <n v="30"/>
    <n v="100"/>
    <n v="10"/>
    <n v="180"/>
    <n v="120"/>
    <x v="2"/>
    <x v="0"/>
    <x v="97"/>
    <x v="5"/>
  </r>
  <r>
    <d v="2025-09-04T00:00:00"/>
    <x v="0"/>
    <x v="6"/>
    <x v="4"/>
    <x v="0"/>
    <x v="2"/>
    <x v="13"/>
    <n v="3"/>
    <n v="22.5"/>
    <n v="50"/>
    <n v="20"/>
    <n v="120"/>
    <n v="52.5"/>
    <x v="0"/>
    <x v="0"/>
    <x v="211"/>
    <x v="5"/>
  </r>
  <r>
    <d v="2025-01-21T00:00:00"/>
    <x v="3"/>
    <x v="5"/>
    <x v="3"/>
    <x v="3"/>
    <x v="3"/>
    <x v="17"/>
    <n v="10"/>
    <n v="80"/>
    <n v="250"/>
    <n v="0"/>
    <n v="2500"/>
    <n v="1700"/>
    <x v="1"/>
    <x v="1"/>
    <x v="212"/>
    <x v="3"/>
  </r>
  <r>
    <d v="2025-02-27T00:00:00"/>
    <x v="10"/>
    <x v="6"/>
    <x v="4"/>
    <x v="1"/>
    <x v="0"/>
    <x v="21"/>
    <n v="10"/>
    <n v="60"/>
    <n v="200"/>
    <n v="5"/>
    <n v="1900"/>
    <n v="1300"/>
    <x v="1"/>
    <x v="0"/>
    <x v="213"/>
    <x v="4"/>
  </r>
  <r>
    <d v="2025-11-12T00:00:00"/>
    <x v="1"/>
    <x v="1"/>
    <x v="4"/>
    <x v="0"/>
    <x v="0"/>
    <x v="0"/>
    <n v="5"/>
    <n v="60"/>
    <n v="200"/>
    <n v="10"/>
    <n v="900"/>
    <n v="600"/>
    <x v="0"/>
    <x v="0"/>
    <x v="214"/>
    <x v="2"/>
  </r>
  <r>
    <d v="2025-11-08T00:00:00"/>
    <x v="1"/>
    <x v="3"/>
    <x v="2"/>
    <x v="1"/>
    <x v="1"/>
    <x v="9"/>
    <n v="2"/>
    <n v="30"/>
    <n v="150"/>
    <n v="5"/>
    <n v="285"/>
    <n v="225"/>
    <x v="2"/>
    <x v="0"/>
    <x v="215"/>
    <x v="0"/>
  </r>
  <r>
    <d v="2025-01-26T00:00:00"/>
    <x v="3"/>
    <x v="2"/>
    <x v="0"/>
    <x v="2"/>
    <x v="2"/>
    <x v="5"/>
    <n v="1"/>
    <n v="90"/>
    <n v="200"/>
    <n v="15"/>
    <n v="170"/>
    <n v="80"/>
    <x v="1"/>
    <x v="0"/>
    <x v="36"/>
    <x v="5"/>
  </r>
  <r>
    <d v="2025-12-18T00:00:00"/>
    <x v="8"/>
    <x v="6"/>
    <x v="2"/>
    <x v="1"/>
    <x v="3"/>
    <x v="17"/>
    <n v="2"/>
    <n v="40"/>
    <n v="150"/>
    <n v="0"/>
    <n v="300"/>
    <n v="220"/>
    <x v="0"/>
    <x v="1"/>
    <x v="216"/>
    <x v="1"/>
  </r>
  <r>
    <d v="2025-05-01T00:00:00"/>
    <x v="4"/>
    <x v="6"/>
    <x v="0"/>
    <x v="2"/>
    <x v="3"/>
    <x v="3"/>
    <n v="5"/>
    <n v="20"/>
    <n v="100"/>
    <n v="10"/>
    <n v="450"/>
    <n v="350"/>
    <x v="0"/>
    <x v="0"/>
    <x v="217"/>
    <x v="4"/>
  </r>
  <r>
    <d v="2025-12-26T00:00:00"/>
    <x v="8"/>
    <x v="0"/>
    <x v="0"/>
    <x v="0"/>
    <x v="2"/>
    <x v="5"/>
    <n v="10"/>
    <n v="22.5"/>
    <n v="50"/>
    <n v="0"/>
    <n v="500"/>
    <n v="275"/>
    <x v="0"/>
    <x v="1"/>
    <x v="218"/>
    <x v="2"/>
  </r>
  <r>
    <d v="2025-01-18T00:00:00"/>
    <x v="3"/>
    <x v="3"/>
    <x v="1"/>
    <x v="4"/>
    <x v="0"/>
    <x v="22"/>
    <n v="5"/>
    <n v="45"/>
    <n v="150"/>
    <n v="15"/>
    <n v="637.5"/>
    <n v="412.5"/>
    <x v="0"/>
    <x v="0"/>
    <x v="219"/>
    <x v="0"/>
  </r>
  <r>
    <d v="2025-11-12T00:00:00"/>
    <x v="1"/>
    <x v="1"/>
    <x v="3"/>
    <x v="0"/>
    <x v="3"/>
    <x v="3"/>
    <n v="2"/>
    <n v="20"/>
    <n v="150"/>
    <n v="20"/>
    <n v="240"/>
    <n v="200"/>
    <x v="0"/>
    <x v="0"/>
    <x v="220"/>
    <x v="3"/>
  </r>
  <r>
    <d v="2025-03-23T00:00:00"/>
    <x v="5"/>
    <x v="2"/>
    <x v="4"/>
    <x v="5"/>
    <x v="0"/>
    <x v="10"/>
    <n v="10"/>
    <n v="15"/>
    <n v="50"/>
    <n v="0"/>
    <n v="500"/>
    <n v="350"/>
    <x v="0"/>
    <x v="1"/>
    <x v="203"/>
    <x v="0"/>
  </r>
  <r>
    <d v="2025-07-22T00:00:00"/>
    <x v="11"/>
    <x v="5"/>
    <x v="0"/>
    <x v="0"/>
    <x v="0"/>
    <x v="10"/>
    <n v="3"/>
    <n v="30"/>
    <n v="100"/>
    <n v="20"/>
    <n v="240"/>
    <n v="150"/>
    <x v="0"/>
    <x v="0"/>
    <x v="221"/>
    <x v="0"/>
  </r>
  <r>
    <d v="2025-12-07T00:00:00"/>
    <x v="8"/>
    <x v="2"/>
    <x v="4"/>
    <x v="1"/>
    <x v="3"/>
    <x v="6"/>
    <n v="1"/>
    <n v="60"/>
    <n v="250"/>
    <n v="0"/>
    <n v="250"/>
    <n v="190"/>
    <x v="0"/>
    <x v="1"/>
    <x v="222"/>
    <x v="1"/>
  </r>
  <r>
    <d v="2025-08-04T00:00:00"/>
    <x v="6"/>
    <x v="4"/>
    <x v="0"/>
    <x v="6"/>
    <x v="4"/>
    <x v="15"/>
    <n v="2"/>
    <n v="67.5"/>
    <n v="150"/>
    <n v="15"/>
    <n v="255"/>
    <n v="120"/>
    <x v="2"/>
    <x v="0"/>
    <x v="223"/>
    <x v="5"/>
  </r>
  <r>
    <d v="2025-09-13T00:00:00"/>
    <x v="0"/>
    <x v="3"/>
    <x v="3"/>
    <x v="0"/>
    <x v="2"/>
    <x v="5"/>
    <n v="1"/>
    <n v="67.5"/>
    <n v="150"/>
    <n v="5"/>
    <n v="142.5"/>
    <n v="75"/>
    <x v="1"/>
    <x v="0"/>
    <x v="224"/>
    <x v="2"/>
  </r>
  <r>
    <d v="2025-12-09T00:00:00"/>
    <x v="8"/>
    <x v="5"/>
    <x v="1"/>
    <x v="1"/>
    <x v="0"/>
    <x v="21"/>
    <n v="5"/>
    <n v="60"/>
    <n v="200"/>
    <n v="0"/>
    <n v="1000"/>
    <n v="700"/>
    <x v="0"/>
    <x v="1"/>
    <x v="225"/>
    <x v="4"/>
  </r>
  <r>
    <d v="2025-08-14T00:00:00"/>
    <x v="6"/>
    <x v="6"/>
    <x v="3"/>
    <x v="1"/>
    <x v="4"/>
    <x v="4"/>
    <n v="2"/>
    <n v="67.5"/>
    <n v="150"/>
    <n v="5"/>
    <n v="285"/>
    <n v="150"/>
    <x v="0"/>
    <x v="0"/>
    <x v="226"/>
    <x v="0"/>
  </r>
  <r>
    <d v="2025-09-11T00:00:00"/>
    <x v="0"/>
    <x v="6"/>
    <x v="1"/>
    <x v="4"/>
    <x v="3"/>
    <x v="8"/>
    <n v="2"/>
    <n v="40"/>
    <n v="150"/>
    <n v="20"/>
    <n v="240"/>
    <n v="160"/>
    <x v="1"/>
    <x v="0"/>
    <x v="227"/>
    <x v="4"/>
  </r>
  <r>
    <d v="2025-05-14T00:00:00"/>
    <x v="4"/>
    <x v="1"/>
    <x v="3"/>
    <x v="1"/>
    <x v="3"/>
    <x v="6"/>
    <n v="3"/>
    <n v="80"/>
    <n v="100"/>
    <n v="0"/>
    <n v="300"/>
    <n v="60"/>
    <x v="2"/>
    <x v="1"/>
    <x v="114"/>
    <x v="2"/>
  </r>
  <r>
    <d v="2025-01-17T00:00:00"/>
    <x v="3"/>
    <x v="0"/>
    <x v="4"/>
    <x v="2"/>
    <x v="4"/>
    <x v="11"/>
    <n v="2"/>
    <n v="45"/>
    <n v="200"/>
    <n v="10"/>
    <n v="360"/>
    <n v="270"/>
    <x v="2"/>
    <x v="0"/>
    <x v="228"/>
    <x v="0"/>
  </r>
  <r>
    <d v="2025-06-21T00:00:00"/>
    <x v="7"/>
    <x v="3"/>
    <x v="4"/>
    <x v="5"/>
    <x v="3"/>
    <x v="17"/>
    <n v="2"/>
    <n v="100"/>
    <n v="100"/>
    <n v="10"/>
    <n v="180"/>
    <n v="-20"/>
    <x v="1"/>
    <x v="0"/>
    <x v="229"/>
    <x v="4"/>
  </r>
  <r>
    <d v="2025-10-12T00:00:00"/>
    <x v="9"/>
    <x v="2"/>
    <x v="0"/>
    <x v="6"/>
    <x v="1"/>
    <x v="14"/>
    <n v="3"/>
    <n v="50"/>
    <n v="250"/>
    <n v="15"/>
    <n v="637.5"/>
    <n v="487.5"/>
    <x v="2"/>
    <x v="0"/>
    <x v="230"/>
    <x v="3"/>
  </r>
  <r>
    <d v="2025-12-10T00:00:00"/>
    <x v="8"/>
    <x v="1"/>
    <x v="4"/>
    <x v="3"/>
    <x v="0"/>
    <x v="19"/>
    <n v="2"/>
    <n v="30"/>
    <n v="100"/>
    <n v="5"/>
    <n v="190"/>
    <n v="130"/>
    <x v="1"/>
    <x v="0"/>
    <x v="231"/>
    <x v="4"/>
  </r>
  <r>
    <d v="2025-03-08T00:00:00"/>
    <x v="5"/>
    <x v="3"/>
    <x v="2"/>
    <x v="3"/>
    <x v="2"/>
    <x v="13"/>
    <n v="5"/>
    <n v="67.5"/>
    <n v="150"/>
    <n v="0"/>
    <n v="750"/>
    <n v="412.5"/>
    <x v="1"/>
    <x v="1"/>
    <x v="89"/>
    <x v="5"/>
  </r>
  <r>
    <d v="2025-09-15T00:00:00"/>
    <x v="0"/>
    <x v="4"/>
    <x v="1"/>
    <x v="4"/>
    <x v="4"/>
    <x v="18"/>
    <n v="1"/>
    <n v="90"/>
    <n v="100"/>
    <n v="15"/>
    <n v="85"/>
    <n v="-5"/>
    <x v="2"/>
    <x v="0"/>
    <x v="215"/>
    <x v="4"/>
  </r>
  <r>
    <d v="2025-06-03T00:00:00"/>
    <x v="7"/>
    <x v="5"/>
    <x v="1"/>
    <x v="5"/>
    <x v="3"/>
    <x v="17"/>
    <n v="1"/>
    <n v="60"/>
    <n v="200"/>
    <n v="20"/>
    <n v="160"/>
    <n v="100"/>
    <x v="0"/>
    <x v="0"/>
    <x v="232"/>
    <x v="1"/>
  </r>
  <r>
    <d v="2025-07-09T00:00:00"/>
    <x v="11"/>
    <x v="1"/>
    <x v="3"/>
    <x v="1"/>
    <x v="0"/>
    <x v="10"/>
    <n v="5"/>
    <n v="45"/>
    <n v="150"/>
    <n v="20"/>
    <n v="600"/>
    <n v="375"/>
    <x v="2"/>
    <x v="0"/>
    <x v="233"/>
    <x v="3"/>
  </r>
  <r>
    <d v="2025-06-20T00:00:00"/>
    <x v="7"/>
    <x v="0"/>
    <x v="2"/>
    <x v="2"/>
    <x v="3"/>
    <x v="6"/>
    <n v="1"/>
    <n v="20"/>
    <n v="100"/>
    <n v="20"/>
    <n v="80"/>
    <n v="60"/>
    <x v="0"/>
    <x v="0"/>
    <x v="234"/>
    <x v="5"/>
  </r>
  <r>
    <d v="2025-09-28T00:00:00"/>
    <x v="0"/>
    <x v="2"/>
    <x v="3"/>
    <x v="6"/>
    <x v="1"/>
    <x v="9"/>
    <n v="2"/>
    <n v="10"/>
    <n v="50"/>
    <n v="10"/>
    <n v="90"/>
    <n v="70"/>
    <x v="2"/>
    <x v="0"/>
    <x v="96"/>
    <x v="3"/>
  </r>
  <r>
    <d v="2025-03-15T00:00:00"/>
    <x v="5"/>
    <x v="3"/>
    <x v="0"/>
    <x v="4"/>
    <x v="0"/>
    <x v="10"/>
    <n v="1"/>
    <n v="30"/>
    <n v="100"/>
    <n v="10"/>
    <n v="90"/>
    <n v="60"/>
    <x v="0"/>
    <x v="0"/>
    <x v="235"/>
    <x v="0"/>
  </r>
  <r>
    <d v="2025-03-27T00:00:00"/>
    <x v="5"/>
    <x v="6"/>
    <x v="2"/>
    <x v="0"/>
    <x v="4"/>
    <x v="18"/>
    <n v="10"/>
    <n v="22.5"/>
    <n v="250"/>
    <n v="0"/>
    <n v="2500"/>
    <n v="2275"/>
    <x v="2"/>
    <x v="1"/>
    <x v="236"/>
    <x v="1"/>
  </r>
  <r>
    <d v="2025-04-24T00:00:00"/>
    <x v="2"/>
    <x v="6"/>
    <x v="1"/>
    <x v="4"/>
    <x v="1"/>
    <x v="9"/>
    <n v="1"/>
    <n v="10"/>
    <n v="50"/>
    <n v="10"/>
    <n v="45"/>
    <n v="35"/>
    <x v="2"/>
    <x v="0"/>
    <x v="237"/>
    <x v="0"/>
  </r>
  <r>
    <d v="2025-02-05T00:00:00"/>
    <x v="10"/>
    <x v="1"/>
    <x v="2"/>
    <x v="1"/>
    <x v="4"/>
    <x v="4"/>
    <n v="10"/>
    <n v="90"/>
    <n v="200"/>
    <n v="15"/>
    <n v="1700"/>
    <n v="800"/>
    <x v="1"/>
    <x v="0"/>
    <x v="11"/>
    <x v="4"/>
  </r>
  <r>
    <d v="2025-04-02T00:00:00"/>
    <x v="2"/>
    <x v="1"/>
    <x v="0"/>
    <x v="4"/>
    <x v="0"/>
    <x v="19"/>
    <n v="2"/>
    <n v="60"/>
    <n v="200"/>
    <n v="15"/>
    <n v="340"/>
    <n v="220"/>
    <x v="0"/>
    <x v="0"/>
    <x v="46"/>
    <x v="0"/>
  </r>
  <r>
    <d v="2025-08-22T00:00:00"/>
    <x v="6"/>
    <x v="0"/>
    <x v="3"/>
    <x v="4"/>
    <x v="1"/>
    <x v="1"/>
    <n v="1"/>
    <n v="30"/>
    <n v="150"/>
    <n v="0"/>
    <n v="150"/>
    <n v="120"/>
    <x v="2"/>
    <x v="1"/>
    <x v="238"/>
    <x v="3"/>
  </r>
  <r>
    <d v="2025-06-01T00:00:00"/>
    <x v="7"/>
    <x v="2"/>
    <x v="3"/>
    <x v="2"/>
    <x v="4"/>
    <x v="15"/>
    <n v="2"/>
    <n v="90"/>
    <n v="250"/>
    <n v="5"/>
    <n v="475"/>
    <n v="295"/>
    <x v="1"/>
    <x v="0"/>
    <x v="239"/>
    <x v="0"/>
  </r>
  <r>
    <d v="2025-04-13T00:00:00"/>
    <x v="2"/>
    <x v="2"/>
    <x v="3"/>
    <x v="1"/>
    <x v="3"/>
    <x v="8"/>
    <n v="2"/>
    <n v="40"/>
    <n v="200"/>
    <n v="15"/>
    <n v="340"/>
    <n v="260"/>
    <x v="2"/>
    <x v="0"/>
    <x v="240"/>
    <x v="3"/>
  </r>
  <r>
    <d v="2025-07-23T00:00:00"/>
    <x v="11"/>
    <x v="1"/>
    <x v="2"/>
    <x v="6"/>
    <x v="4"/>
    <x v="4"/>
    <n v="1"/>
    <n v="90"/>
    <n v="100"/>
    <n v="5"/>
    <n v="95"/>
    <n v="5"/>
    <x v="1"/>
    <x v="0"/>
    <x v="241"/>
    <x v="0"/>
  </r>
  <r>
    <d v="2025-03-22T00:00:00"/>
    <x v="5"/>
    <x v="3"/>
    <x v="0"/>
    <x v="3"/>
    <x v="3"/>
    <x v="17"/>
    <n v="2"/>
    <n v="100"/>
    <n v="200"/>
    <n v="15"/>
    <n v="340"/>
    <n v="140"/>
    <x v="2"/>
    <x v="0"/>
    <x v="242"/>
    <x v="1"/>
  </r>
  <r>
    <d v="2025-08-26T00:00:00"/>
    <x v="6"/>
    <x v="5"/>
    <x v="2"/>
    <x v="5"/>
    <x v="3"/>
    <x v="17"/>
    <n v="1"/>
    <n v="80"/>
    <n v="250"/>
    <n v="0"/>
    <n v="250"/>
    <n v="170"/>
    <x v="0"/>
    <x v="1"/>
    <x v="31"/>
    <x v="4"/>
  </r>
  <r>
    <d v="2025-08-22T00:00:00"/>
    <x v="6"/>
    <x v="0"/>
    <x v="2"/>
    <x v="3"/>
    <x v="1"/>
    <x v="20"/>
    <n v="5"/>
    <n v="40"/>
    <n v="200"/>
    <n v="0"/>
    <n v="1000"/>
    <n v="800"/>
    <x v="1"/>
    <x v="1"/>
    <x v="243"/>
    <x v="0"/>
  </r>
  <r>
    <d v="2025-04-22T00:00:00"/>
    <x v="2"/>
    <x v="5"/>
    <x v="2"/>
    <x v="5"/>
    <x v="4"/>
    <x v="7"/>
    <n v="2"/>
    <n v="112.5"/>
    <n v="100"/>
    <n v="0"/>
    <n v="200"/>
    <n v="-25"/>
    <x v="0"/>
    <x v="1"/>
    <x v="244"/>
    <x v="3"/>
  </r>
  <r>
    <d v="2025-09-23T00:00:00"/>
    <x v="0"/>
    <x v="5"/>
    <x v="3"/>
    <x v="3"/>
    <x v="2"/>
    <x v="13"/>
    <n v="3"/>
    <n v="112.5"/>
    <n v="250"/>
    <n v="0"/>
    <n v="750"/>
    <n v="412.5"/>
    <x v="1"/>
    <x v="1"/>
    <x v="204"/>
    <x v="0"/>
  </r>
  <r>
    <d v="2025-09-19T00:00:00"/>
    <x v="0"/>
    <x v="0"/>
    <x v="1"/>
    <x v="3"/>
    <x v="2"/>
    <x v="2"/>
    <n v="1"/>
    <n v="90"/>
    <n v="200"/>
    <n v="15"/>
    <n v="170"/>
    <n v="80"/>
    <x v="0"/>
    <x v="0"/>
    <x v="245"/>
    <x v="1"/>
  </r>
  <r>
    <d v="2025-01-16T00:00:00"/>
    <x v="3"/>
    <x v="6"/>
    <x v="4"/>
    <x v="0"/>
    <x v="1"/>
    <x v="12"/>
    <n v="3"/>
    <n v="10"/>
    <n v="50"/>
    <n v="0"/>
    <n v="150"/>
    <n v="120"/>
    <x v="0"/>
    <x v="1"/>
    <x v="246"/>
    <x v="5"/>
  </r>
  <r>
    <d v="2025-01-28T00:00:00"/>
    <x v="3"/>
    <x v="5"/>
    <x v="0"/>
    <x v="2"/>
    <x v="4"/>
    <x v="4"/>
    <n v="1"/>
    <n v="45"/>
    <n v="150"/>
    <n v="20"/>
    <n v="120"/>
    <n v="75"/>
    <x v="0"/>
    <x v="0"/>
    <x v="163"/>
    <x v="5"/>
  </r>
  <r>
    <d v="2025-10-15T00:00:00"/>
    <x v="9"/>
    <x v="1"/>
    <x v="0"/>
    <x v="0"/>
    <x v="0"/>
    <x v="22"/>
    <n v="3"/>
    <n v="30"/>
    <n v="100"/>
    <n v="15"/>
    <n v="255"/>
    <n v="165"/>
    <x v="1"/>
    <x v="0"/>
    <x v="85"/>
    <x v="0"/>
  </r>
  <r>
    <d v="2025-07-14T00:00:00"/>
    <x v="11"/>
    <x v="4"/>
    <x v="1"/>
    <x v="2"/>
    <x v="3"/>
    <x v="17"/>
    <n v="2"/>
    <n v="60"/>
    <n v="100"/>
    <n v="20"/>
    <n v="160"/>
    <n v="40"/>
    <x v="2"/>
    <x v="0"/>
    <x v="247"/>
    <x v="4"/>
  </r>
  <r>
    <d v="2025-01-20T00:00:00"/>
    <x v="3"/>
    <x v="4"/>
    <x v="1"/>
    <x v="2"/>
    <x v="1"/>
    <x v="14"/>
    <n v="10"/>
    <n v="30"/>
    <n v="150"/>
    <n v="0"/>
    <n v="1500"/>
    <n v="1200"/>
    <x v="2"/>
    <x v="1"/>
    <x v="248"/>
    <x v="5"/>
  </r>
  <r>
    <d v="2025-04-27T00:00:00"/>
    <x v="2"/>
    <x v="2"/>
    <x v="1"/>
    <x v="6"/>
    <x v="1"/>
    <x v="14"/>
    <n v="2"/>
    <n v="20"/>
    <n v="100"/>
    <n v="0"/>
    <n v="200"/>
    <n v="160"/>
    <x v="1"/>
    <x v="1"/>
    <x v="32"/>
    <x v="0"/>
  </r>
  <r>
    <d v="2025-12-09T00:00:00"/>
    <x v="8"/>
    <x v="5"/>
    <x v="3"/>
    <x v="5"/>
    <x v="3"/>
    <x v="17"/>
    <n v="1"/>
    <n v="40"/>
    <n v="150"/>
    <n v="0"/>
    <n v="150"/>
    <n v="110"/>
    <x v="2"/>
    <x v="1"/>
    <x v="240"/>
    <x v="1"/>
  </r>
  <r>
    <d v="2025-02-25T00:00:00"/>
    <x v="10"/>
    <x v="5"/>
    <x v="3"/>
    <x v="5"/>
    <x v="0"/>
    <x v="21"/>
    <n v="2"/>
    <n v="30"/>
    <n v="100"/>
    <n v="10"/>
    <n v="180"/>
    <n v="120"/>
    <x v="2"/>
    <x v="0"/>
    <x v="97"/>
    <x v="5"/>
  </r>
  <r>
    <d v="2025-02-16T00:00:00"/>
    <x v="10"/>
    <x v="2"/>
    <x v="3"/>
    <x v="5"/>
    <x v="0"/>
    <x v="21"/>
    <n v="10"/>
    <n v="75"/>
    <n v="250"/>
    <n v="20"/>
    <n v="2000"/>
    <n v="1250"/>
    <x v="2"/>
    <x v="0"/>
    <x v="249"/>
    <x v="0"/>
  </r>
  <r>
    <d v="2025-04-10T00:00:00"/>
    <x v="2"/>
    <x v="6"/>
    <x v="0"/>
    <x v="5"/>
    <x v="2"/>
    <x v="13"/>
    <n v="1"/>
    <n v="90"/>
    <n v="200"/>
    <n v="10"/>
    <n v="180"/>
    <n v="90"/>
    <x v="0"/>
    <x v="0"/>
    <x v="250"/>
    <x v="2"/>
  </r>
  <r>
    <d v="2025-10-08T00:00:00"/>
    <x v="9"/>
    <x v="1"/>
    <x v="0"/>
    <x v="5"/>
    <x v="4"/>
    <x v="18"/>
    <n v="5"/>
    <n v="45"/>
    <n v="150"/>
    <n v="5"/>
    <n v="712.5"/>
    <n v="487.5"/>
    <x v="0"/>
    <x v="0"/>
    <x v="161"/>
    <x v="0"/>
  </r>
  <r>
    <d v="2025-03-24T00:00:00"/>
    <x v="5"/>
    <x v="4"/>
    <x v="1"/>
    <x v="6"/>
    <x v="0"/>
    <x v="0"/>
    <n v="1"/>
    <n v="30"/>
    <n v="100"/>
    <n v="5"/>
    <n v="95"/>
    <n v="65"/>
    <x v="0"/>
    <x v="0"/>
    <x v="197"/>
    <x v="2"/>
  </r>
  <r>
    <d v="2025-02-05T00:00:00"/>
    <x v="10"/>
    <x v="1"/>
    <x v="0"/>
    <x v="5"/>
    <x v="0"/>
    <x v="21"/>
    <n v="5"/>
    <n v="45"/>
    <n v="150"/>
    <n v="0"/>
    <n v="750"/>
    <n v="525"/>
    <x v="1"/>
    <x v="1"/>
    <x v="134"/>
    <x v="5"/>
  </r>
  <r>
    <d v="2025-07-11T00:00:00"/>
    <x v="11"/>
    <x v="0"/>
    <x v="0"/>
    <x v="6"/>
    <x v="2"/>
    <x v="5"/>
    <n v="10"/>
    <n v="90"/>
    <n v="200"/>
    <n v="5"/>
    <n v="1900"/>
    <n v="1000"/>
    <x v="2"/>
    <x v="0"/>
    <x v="189"/>
    <x v="3"/>
  </r>
  <r>
    <d v="2025-06-18T00:00:00"/>
    <x v="7"/>
    <x v="1"/>
    <x v="2"/>
    <x v="1"/>
    <x v="4"/>
    <x v="7"/>
    <n v="10"/>
    <n v="22.5"/>
    <n v="200"/>
    <n v="15"/>
    <n v="1700"/>
    <n v="1475"/>
    <x v="2"/>
    <x v="0"/>
    <x v="106"/>
    <x v="0"/>
  </r>
  <r>
    <d v="2025-09-20T00:00:00"/>
    <x v="0"/>
    <x v="3"/>
    <x v="4"/>
    <x v="3"/>
    <x v="0"/>
    <x v="10"/>
    <n v="10"/>
    <n v="15"/>
    <n v="50"/>
    <n v="15"/>
    <n v="425"/>
    <n v="275"/>
    <x v="1"/>
    <x v="0"/>
    <x v="233"/>
    <x v="0"/>
  </r>
  <r>
    <d v="2025-12-11T00:00:00"/>
    <x v="8"/>
    <x v="6"/>
    <x v="2"/>
    <x v="3"/>
    <x v="3"/>
    <x v="6"/>
    <n v="2"/>
    <n v="40"/>
    <n v="250"/>
    <n v="20"/>
    <n v="400"/>
    <n v="320"/>
    <x v="0"/>
    <x v="0"/>
    <x v="251"/>
    <x v="5"/>
  </r>
  <r>
    <d v="2025-12-11T00:00:00"/>
    <x v="8"/>
    <x v="6"/>
    <x v="3"/>
    <x v="4"/>
    <x v="2"/>
    <x v="16"/>
    <n v="1"/>
    <n v="45"/>
    <n v="100"/>
    <n v="0"/>
    <n v="100"/>
    <n v="55"/>
    <x v="2"/>
    <x v="1"/>
    <x v="252"/>
    <x v="2"/>
  </r>
  <r>
    <d v="2025-09-16T00:00:00"/>
    <x v="0"/>
    <x v="5"/>
    <x v="3"/>
    <x v="0"/>
    <x v="3"/>
    <x v="3"/>
    <n v="10"/>
    <n v="40"/>
    <n v="150"/>
    <n v="0"/>
    <n v="1500"/>
    <n v="1100"/>
    <x v="0"/>
    <x v="1"/>
    <x v="79"/>
    <x v="4"/>
  </r>
  <r>
    <d v="2025-01-16T00:00:00"/>
    <x v="3"/>
    <x v="6"/>
    <x v="1"/>
    <x v="5"/>
    <x v="3"/>
    <x v="8"/>
    <n v="2"/>
    <n v="40"/>
    <n v="100"/>
    <n v="15"/>
    <n v="170"/>
    <n v="90"/>
    <x v="2"/>
    <x v="0"/>
    <x v="180"/>
    <x v="2"/>
  </r>
  <r>
    <d v="2025-04-06T00:00:00"/>
    <x v="2"/>
    <x v="2"/>
    <x v="3"/>
    <x v="0"/>
    <x v="3"/>
    <x v="6"/>
    <n v="10"/>
    <n v="40"/>
    <n v="100"/>
    <n v="5"/>
    <n v="950"/>
    <n v="550"/>
    <x v="1"/>
    <x v="0"/>
    <x v="253"/>
    <x v="0"/>
  </r>
  <r>
    <d v="2025-07-16T00:00:00"/>
    <x v="11"/>
    <x v="1"/>
    <x v="0"/>
    <x v="1"/>
    <x v="2"/>
    <x v="5"/>
    <n v="10"/>
    <n v="45"/>
    <n v="100"/>
    <n v="5"/>
    <n v="950"/>
    <n v="500"/>
    <x v="2"/>
    <x v="0"/>
    <x v="254"/>
    <x v="4"/>
  </r>
  <r>
    <d v="2025-07-05T00:00:00"/>
    <x v="11"/>
    <x v="3"/>
    <x v="2"/>
    <x v="3"/>
    <x v="1"/>
    <x v="1"/>
    <n v="2"/>
    <n v="30"/>
    <n v="150"/>
    <n v="15"/>
    <n v="255"/>
    <n v="195"/>
    <x v="0"/>
    <x v="0"/>
    <x v="255"/>
    <x v="4"/>
  </r>
  <r>
    <d v="2025-10-15T00:00:00"/>
    <x v="9"/>
    <x v="1"/>
    <x v="2"/>
    <x v="5"/>
    <x v="3"/>
    <x v="8"/>
    <n v="2"/>
    <n v="80"/>
    <n v="50"/>
    <n v="10"/>
    <n v="90"/>
    <n v="-70"/>
    <x v="0"/>
    <x v="0"/>
    <x v="256"/>
    <x v="0"/>
  </r>
  <r>
    <d v="2025-11-24T00:00:00"/>
    <x v="1"/>
    <x v="4"/>
    <x v="3"/>
    <x v="2"/>
    <x v="3"/>
    <x v="17"/>
    <n v="5"/>
    <n v="100"/>
    <n v="200"/>
    <n v="10"/>
    <n v="900"/>
    <n v="400"/>
    <x v="1"/>
    <x v="0"/>
    <x v="257"/>
    <x v="3"/>
  </r>
  <r>
    <d v="2025-08-11T00:00:00"/>
    <x v="6"/>
    <x v="4"/>
    <x v="4"/>
    <x v="4"/>
    <x v="1"/>
    <x v="12"/>
    <n v="1"/>
    <n v="50"/>
    <n v="250"/>
    <n v="20"/>
    <n v="200"/>
    <n v="150"/>
    <x v="1"/>
    <x v="0"/>
    <x v="258"/>
    <x v="5"/>
  </r>
  <r>
    <d v="2025-05-27T00:00:00"/>
    <x v="4"/>
    <x v="5"/>
    <x v="1"/>
    <x v="0"/>
    <x v="3"/>
    <x v="8"/>
    <n v="2"/>
    <n v="20"/>
    <n v="200"/>
    <n v="15"/>
    <n v="340"/>
    <n v="300"/>
    <x v="0"/>
    <x v="0"/>
    <x v="102"/>
    <x v="5"/>
  </r>
  <r>
    <d v="2025-04-16T00:00:00"/>
    <x v="2"/>
    <x v="1"/>
    <x v="0"/>
    <x v="1"/>
    <x v="2"/>
    <x v="5"/>
    <n v="2"/>
    <n v="22.5"/>
    <n v="50"/>
    <n v="0"/>
    <n v="100"/>
    <n v="55"/>
    <x v="2"/>
    <x v="1"/>
    <x v="259"/>
    <x v="0"/>
  </r>
  <r>
    <d v="2025-04-10T00:00:00"/>
    <x v="2"/>
    <x v="6"/>
    <x v="3"/>
    <x v="6"/>
    <x v="3"/>
    <x v="17"/>
    <n v="1"/>
    <n v="60"/>
    <n v="150"/>
    <n v="15"/>
    <n v="127.5"/>
    <n v="67.5"/>
    <x v="1"/>
    <x v="0"/>
    <x v="260"/>
    <x v="3"/>
  </r>
  <r>
    <d v="2025-01-15T00:00:00"/>
    <x v="3"/>
    <x v="1"/>
    <x v="3"/>
    <x v="6"/>
    <x v="1"/>
    <x v="1"/>
    <n v="10"/>
    <n v="30"/>
    <n v="150"/>
    <n v="20"/>
    <n v="1200"/>
    <n v="900"/>
    <x v="0"/>
    <x v="0"/>
    <x v="170"/>
    <x v="5"/>
  </r>
  <r>
    <d v="2025-01-04T00:00:00"/>
    <x v="3"/>
    <x v="3"/>
    <x v="0"/>
    <x v="5"/>
    <x v="4"/>
    <x v="7"/>
    <n v="3"/>
    <n v="67.5"/>
    <n v="150"/>
    <n v="15"/>
    <n v="382.5"/>
    <n v="180"/>
    <x v="1"/>
    <x v="0"/>
    <x v="261"/>
    <x v="5"/>
  </r>
  <r>
    <d v="2025-11-16T00:00:00"/>
    <x v="1"/>
    <x v="2"/>
    <x v="3"/>
    <x v="5"/>
    <x v="2"/>
    <x v="2"/>
    <n v="3"/>
    <n v="67.5"/>
    <n v="150"/>
    <n v="0"/>
    <n v="450"/>
    <n v="247.5"/>
    <x v="0"/>
    <x v="1"/>
    <x v="262"/>
    <x v="1"/>
  </r>
  <r>
    <d v="2025-10-23T00:00:00"/>
    <x v="9"/>
    <x v="6"/>
    <x v="0"/>
    <x v="1"/>
    <x v="2"/>
    <x v="13"/>
    <n v="1"/>
    <n v="67.5"/>
    <n v="150"/>
    <n v="0"/>
    <n v="150"/>
    <n v="82.5"/>
    <x v="0"/>
    <x v="1"/>
    <x v="263"/>
    <x v="0"/>
  </r>
  <r>
    <d v="2025-12-09T00:00:00"/>
    <x v="8"/>
    <x v="5"/>
    <x v="2"/>
    <x v="2"/>
    <x v="4"/>
    <x v="11"/>
    <n v="2"/>
    <n v="45"/>
    <n v="250"/>
    <n v="15"/>
    <n v="425"/>
    <n v="335"/>
    <x v="1"/>
    <x v="0"/>
    <x v="264"/>
    <x v="2"/>
  </r>
  <r>
    <d v="2025-07-18T00:00:00"/>
    <x v="11"/>
    <x v="0"/>
    <x v="0"/>
    <x v="6"/>
    <x v="3"/>
    <x v="3"/>
    <n v="3"/>
    <n v="60"/>
    <n v="100"/>
    <n v="20"/>
    <n v="240"/>
    <n v="60"/>
    <x v="2"/>
    <x v="0"/>
    <x v="265"/>
    <x v="4"/>
  </r>
  <r>
    <d v="2025-08-11T00:00:00"/>
    <x v="6"/>
    <x v="4"/>
    <x v="0"/>
    <x v="2"/>
    <x v="4"/>
    <x v="7"/>
    <n v="2"/>
    <n v="67.5"/>
    <n v="150"/>
    <n v="0"/>
    <n v="300"/>
    <n v="165"/>
    <x v="0"/>
    <x v="1"/>
    <x v="266"/>
    <x v="1"/>
  </r>
  <r>
    <d v="2025-06-16T00:00:00"/>
    <x v="7"/>
    <x v="4"/>
    <x v="4"/>
    <x v="6"/>
    <x v="0"/>
    <x v="21"/>
    <n v="1"/>
    <n v="45"/>
    <n v="150"/>
    <n v="20"/>
    <n v="120"/>
    <n v="75"/>
    <x v="2"/>
    <x v="0"/>
    <x v="247"/>
    <x v="0"/>
  </r>
  <r>
    <d v="2025-04-19T00:00:00"/>
    <x v="2"/>
    <x v="3"/>
    <x v="4"/>
    <x v="5"/>
    <x v="2"/>
    <x v="5"/>
    <n v="1"/>
    <n v="67.5"/>
    <n v="150"/>
    <n v="5"/>
    <n v="142.5"/>
    <n v="75"/>
    <x v="2"/>
    <x v="0"/>
    <x v="267"/>
    <x v="0"/>
  </r>
  <r>
    <d v="2025-02-19T00:00:00"/>
    <x v="10"/>
    <x v="1"/>
    <x v="1"/>
    <x v="5"/>
    <x v="1"/>
    <x v="12"/>
    <n v="10"/>
    <n v="50"/>
    <n v="250"/>
    <n v="20"/>
    <n v="2000"/>
    <n v="1500"/>
    <x v="1"/>
    <x v="0"/>
    <x v="268"/>
    <x v="0"/>
  </r>
  <r>
    <d v="2025-01-14T00:00:00"/>
    <x v="3"/>
    <x v="5"/>
    <x v="0"/>
    <x v="4"/>
    <x v="3"/>
    <x v="3"/>
    <n v="5"/>
    <n v="60"/>
    <n v="200"/>
    <n v="10"/>
    <n v="900"/>
    <n v="600"/>
    <x v="0"/>
    <x v="0"/>
    <x v="208"/>
    <x v="2"/>
  </r>
  <r>
    <d v="2025-05-12T00:00:00"/>
    <x v="4"/>
    <x v="4"/>
    <x v="2"/>
    <x v="1"/>
    <x v="4"/>
    <x v="7"/>
    <n v="2"/>
    <n v="67.5"/>
    <n v="150"/>
    <n v="15"/>
    <n v="255"/>
    <n v="120"/>
    <x v="0"/>
    <x v="0"/>
    <x v="92"/>
    <x v="0"/>
  </r>
  <r>
    <d v="2025-04-09T00:00:00"/>
    <x v="2"/>
    <x v="1"/>
    <x v="4"/>
    <x v="0"/>
    <x v="3"/>
    <x v="6"/>
    <n v="3"/>
    <n v="100"/>
    <n v="150"/>
    <n v="0"/>
    <n v="450"/>
    <n v="150"/>
    <x v="2"/>
    <x v="1"/>
    <x v="37"/>
    <x v="5"/>
  </r>
  <r>
    <d v="2025-02-12T00:00:00"/>
    <x v="10"/>
    <x v="1"/>
    <x v="1"/>
    <x v="4"/>
    <x v="0"/>
    <x v="0"/>
    <n v="3"/>
    <n v="75"/>
    <n v="250"/>
    <n v="10"/>
    <n v="675"/>
    <n v="450"/>
    <x v="0"/>
    <x v="0"/>
    <x v="269"/>
    <x v="4"/>
  </r>
  <r>
    <d v="2025-09-24T00:00:00"/>
    <x v="0"/>
    <x v="1"/>
    <x v="0"/>
    <x v="2"/>
    <x v="1"/>
    <x v="1"/>
    <n v="3"/>
    <n v="40"/>
    <n v="200"/>
    <n v="5"/>
    <n v="570"/>
    <n v="450"/>
    <x v="2"/>
    <x v="0"/>
    <x v="57"/>
    <x v="1"/>
  </r>
  <r>
    <d v="2025-08-15T00:00:00"/>
    <x v="6"/>
    <x v="0"/>
    <x v="0"/>
    <x v="6"/>
    <x v="2"/>
    <x v="5"/>
    <n v="2"/>
    <n v="22.5"/>
    <n v="50"/>
    <n v="15"/>
    <n v="85"/>
    <n v="40"/>
    <x v="0"/>
    <x v="0"/>
    <x v="270"/>
    <x v="2"/>
  </r>
  <r>
    <d v="2025-09-02T00:00:00"/>
    <x v="0"/>
    <x v="5"/>
    <x v="1"/>
    <x v="0"/>
    <x v="0"/>
    <x v="21"/>
    <n v="5"/>
    <n v="15"/>
    <n v="50"/>
    <n v="15"/>
    <n v="212.5"/>
    <n v="137.5"/>
    <x v="2"/>
    <x v="0"/>
    <x v="109"/>
    <x v="1"/>
  </r>
  <r>
    <d v="2025-02-18T00:00:00"/>
    <x v="10"/>
    <x v="5"/>
    <x v="2"/>
    <x v="3"/>
    <x v="1"/>
    <x v="20"/>
    <n v="2"/>
    <n v="30"/>
    <n v="150"/>
    <n v="0"/>
    <n v="300"/>
    <n v="240"/>
    <x v="2"/>
    <x v="1"/>
    <x v="191"/>
    <x v="5"/>
  </r>
  <r>
    <d v="2025-12-12T00:00:00"/>
    <x v="8"/>
    <x v="0"/>
    <x v="0"/>
    <x v="0"/>
    <x v="2"/>
    <x v="5"/>
    <n v="3"/>
    <n v="90"/>
    <n v="200"/>
    <n v="15"/>
    <n v="510"/>
    <n v="240"/>
    <x v="1"/>
    <x v="0"/>
    <x v="271"/>
    <x v="5"/>
  </r>
  <r>
    <d v="2025-07-02T00:00:00"/>
    <x v="11"/>
    <x v="1"/>
    <x v="1"/>
    <x v="1"/>
    <x v="3"/>
    <x v="17"/>
    <n v="3"/>
    <n v="20"/>
    <n v="150"/>
    <n v="0"/>
    <n v="450"/>
    <n v="390"/>
    <x v="0"/>
    <x v="1"/>
    <x v="272"/>
    <x v="4"/>
  </r>
  <r>
    <d v="2025-03-15T00:00:00"/>
    <x v="5"/>
    <x v="3"/>
    <x v="0"/>
    <x v="5"/>
    <x v="4"/>
    <x v="7"/>
    <n v="10"/>
    <n v="90"/>
    <n v="50"/>
    <n v="5"/>
    <n v="475"/>
    <n v="-425"/>
    <x v="2"/>
    <x v="0"/>
    <x v="128"/>
    <x v="0"/>
  </r>
  <r>
    <d v="2025-05-10T00:00:00"/>
    <x v="4"/>
    <x v="3"/>
    <x v="3"/>
    <x v="4"/>
    <x v="4"/>
    <x v="11"/>
    <n v="2"/>
    <n v="67.5"/>
    <n v="200"/>
    <n v="20"/>
    <n v="320"/>
    <n v="185"/>
    <x v="2"/>
    <x v="0"/>
    <x v="273"/>
    <x v="1"/>
  </r>
  <r>
    <d v="2025-12-15T00:00:00"/>
    <x v="8"/>
    <x v="4"/>
    <x v="1"/>
    <x v="3"/>
    <x v="2"/>
    <x v="2"/>
    <n v="10"/>
    <n v="67.5"/>
    <n v="150"/>
    <n v="10"/>
    <n v="1350"/>
    <n v="675"/>
    <x v="0"/>
    <x v="0"/>
    <x v="274"/>
    <x v="0"/>
  </r>
  <r>
    <d v="2025-06-24T00:00:00"/>
    <x v="7"/>
    <x v="5"/>
    <x v="1"/>
    <x v="2"/>
    <x v="3"/>
    <x v="17"/>
    <n v="2"/>
    <n v="40"/>
    <n v="250"/>
    <n v="20"/>
    <n v="400"/>
    <n v="320"/>
    <x v="0"/>
    <x v="0"/>
    <x v="275"/>
    <x v="0"/>
  </r>
  <r>
    <d v="2025-08-24T00:00:00"/>
    <x v="6"/>
    <x v="2"/>
    <x v="2"/>
    <x v="2"/>
    <x v="4"/>
    <x v="4"/>
    <n v="10"/>
    <n v="67.5"/>
    <n v="100"/>
    <n v="15"/>
    <n v="850"/>
    <n v="175"/>
    <x v="2"/>
    <x v="0"/>
    <x v="276"/>
    <x v="1"/>
  </r>
  <r>
    <d v="2025-02-04T00:00:00"/>
    <x v="10"/>
    <x v="5"/>
    <x v="3"/>
    <x v="6"/>
    <x v="1"/>
    <x v="20"/>
    <n v="5"/>
    <n v="30"/>
    <n v="150"/>
    <n v="15"/>
    <n v="637.5"/>
    <n v="487.5"/>
    <x v="2"/>
    <x v="0"/>
    <x v="277"/>
    <x v="2"/>
  </r>
  <r>
    <d v="2025-11-21T00:00:00"/>
    <x v="1"/>
    <x v="0"/>
    <x v="0"/>
    <x v="6"/>
    <x v="3"/>
    <x v="8"/>
    <n v="10"/>
    <n v="40"/>
    <n v="50"/>
    <n v="0"/>
    <n v="500"/>
    <n v="100"/>
    <x v="2"/>
    <x v="1"/>
    <x v="108"/>
    <x v="2"/>
  </r>
  <r>
    <d v="2025-12-26T00:00:00"/>
    <x v="8"/>
    <x v="0"/>
    <x v="2"/>
    <x v="6"/>
    <x v="0"/>
    <x v="0"/>
    <n v="10"/>
    <n v="30"/>
    <n v="100"/>
    <n v="0"/>
    <n v="1000"/>
    <n v="700"/>
    <x v="2"/>
    <x v="1"/>
    <x v="278"/>
    <x v="1"/>
  </r>
  <r>
    <d v="2025-06-28T00:00:00"/>
    <x v="7"/>
    <x v="3"/>
    <x v="2"/>
    <x v="5"/>
    <x v="0"/>
    <x v="21"/>
    <n v="2"/>
    <n v="60"/>
    <n v="200"/>
    <n v="15"/>
    <n v="340"/>
    <n v="220"/>
    <x v="0"/>
    <x v="0"/>
    <x v="279"/>
    <x v="1"/>
  </r>
  <r>
    <d v="2025-12-04T00:00:00"/>
    <x v="8"/>
    <x v="6"/>
    <x v="0"/>
    <x v="4"/>
    <x v="1"/>
    <x v="1"/>
    <n v="1"/>
    <n v="30"/>
    <n v="150"/>
    <n v="5"/>
    <n v="142.5"/>
    <n v="112.5"/>
    <x v="0"/>
    <x v="0"/>
    <x v="280"/>
    <x v="2"/>
  </r>
  <r>
    <d v="2025-09-07T00:00:00"/>
    <x v="0"/>
    <x v="2"/>
    <x v="3"/>
    <x v="5"/>
    <x v="1"/>
    <x v="9"/>
    <n v="5"/>
    <n v="30"/>
    <n v="150"/>
    <n v="5"/>
    <n v="712.5"/>
    <n v="562.5"/>
    <x v="1"/>
    <x v="0"/>
    <x v="66"/>
    <x v="0"/>
  </r>
  <r>
    <d v="2025-11-02T00:00:00"/>
    <x v="1"/>
    <x v="2"/>
    <x v="0"/>
    <x v="2"/>
    <x v="3"/>
    <x v="8"/>
    <n v="5"/>
    <n v="60"/>
    <n v="50"/>
    <n v="20"/>
    <n v="200"/>
    <n v="-100"/>
    <x v="2"/>
    <x v="0"/>
    <x v="5"/>
    <x v="5"/>
  </r>
  <r>
    <d v="2025-07-07T00:00:00"/>
    <x v="11"/>
    <x v="4"/>
    <x v="2"/>
    <x v="2"/>
    <x v="0"/>
    <x v="19"/>
    <n v="2"/>
    <n v="45"/>
    <n v="150"/>
    <n v="20"/>
    <n v="240"/>
    <n v="150"/>
    <x v="1"/>
    <x v="0"/>
    <x v="281"/>
    <x v="4"/>
  </r>
  <r>
    <d v="2025-05-23T00:00:00"/>
    <x v="4"/>
    <x v="0"/>
    <x v="2"/>
    <x v="1"/>
    <x v="2"/>
    <x v="2"/>
    <n v="2"/>
    <n v="67.5"/>
    <n v="150"/>
    <n v="0"/>
    <n v="300"/>
    <n v="165"/>
    <x v="2"/>
    <x v="1"/>
    <x v="211"/>
    <x v="0"/>
  </r>
  <r>
    <d v="2025-07-15T00:00:00"/>
    <x v="11"/>
    <x v="5"/>
    <x v="3"/>
    <x v="4"/>
    <x v="2"/>
    <x v="5"/>
    <n v="2"/>
    <n v="90"/>
    <n v="200"/>
    <n v="0"/>
    <n v="400"/>
    <n v="220"/>
    <x v="2"/>
    <x v="1"/>
    <x v="282"/>
    <x v="5"/>
  </r>
  <r>
    <d v="2025-08-03T00:00:00"/>
    <x v="6"/>
    <x v="2"/>
    <x v="0"/>
    <x v="6"/>
    <x v="3"/>
    <x v="8"/>
    <n v="1"/>
    <n v="20"/>
    <n v="150"/>
    <n v="0"/>
    <n v="150"/>
    <n v="130"/>
    <x v="0"/>
    <x v="1"/>
    <x v="101"/>
    <x v="1"/>
  </r>
  <r>
    <d v="2025-02-04T00:00:00"/>
    <x v="10"/>
    <x v="5"/>
    <x v="4"/>
    <x v="6"/>
    <x v="3"/>
    <x v="17"/>
    <n v="2"/>
    <n v="100"/>
    <n v="50"/>
    <n v="5"/>
    <n v="95"/>
    <n v="-105"/>
    <x v="2"/>
    <x v="0"/>
    <x v="283"/>
    <x v="1"/>
  </r>
  <r>
    <d v="2025-10-08T00:00:00"/>
    <x v="9"/>
    <x v="1"/>
    <x v="3"/>
    <x v="3"/>
    <x v="2"/>
    <x v="16"/>
    <n v="5"/>
    <n v="112.5"/>
    <n v="250"/>
    <n v="10"/>
    <n v="1125"/>
    <n v="562.5"/>
    <x v="1"/>
    <x v="0"/>
    <x v="284"/>
    <x v="2"/>
  </r>
  <r>
    <d v="2025-04-07T00:00:00"/>
    <x v="2"/>
    <x v="4"/>
    <x v="2"/>
    <x v="6"/>
    <x v="1"/>
    <x v="14"/>
    <n v="1"/>
    <n v="30"/>
    <n v="150"/>
    <n v="0"/>
    <n v="150"/>
    <n v="120"/>
    <x v="0"/>
    <x v="1"/>
    <x v="285"/>
    <x v="1"/>
  </r>
  <r>
    <d v="2025-06-01T00:00:00"/>
    <x v="7"/>
    <x v="2"/>
    <x v="2"/>
    <x v="4"/>
    <x v="2"/>
    <x v="16"/>
    <n v="1"/>
    <n v="67.5"/>
    <n v="150"/>
    <n v="10"/>
    <n v="135"/>
    <n v="67.5"/>
    <x v="2"/>
    <x v="0"/>
    <x v="159"/>
    <x v="1"/>
  </r>
  <r>
    <d v="2025-12-06T00:00:00"/>
    <x v="8"/>
    <x v="3"/>
    <x v="4"/>
    <x v="2"/>
    <x v="4"/>
    <x v="4"/>
    <n v="3"/>
    <n v="112.5"/>
    <n v="200"/>
    <n v="20"/>
    <n v="480"/>
    <n v="142.5"/>
    <x v="2"/>
    <x v="0"/>
    <x v="286"/>
    <x v="2"/>
  </r>
  <r>
    <d v="2025-08-10T00:00:00"/>
    <x v="6"/>
    <x v="2"/>
    <x v="0"/>
    <x v="5"/>
    <x v="0"/>
    <x v="19"/>
    <n v="2"/>
    <n v="75"/>
    <n v="250"/>
    <n v="20"/>
    <n v="400"/>
    <n v="250"/>
    <x v="0"/>
    <x v="0"/>
    <x v="287"/>
    <x v="0"/>
  </r>
  <r>
    <d v="2025-06-21T00:00:00"/>
    <x v="7"/>
    <x v="3"/>
    <x v="1"/>
    <x v="5"/>
    <x v="4"/>
    <x v="18"/>
    <n v="3"/>
    <n v="90"/>
    <n v="150"/>
    <n v="20"/>
    <n v="360"/>
    <n v="90"/>
    <x v="0"/>
    <x v="0"/>
    <x v="288"/>
    <x v="2"/>
  </r>
  <r>
    <d v="2025-03-20T00:00:00"/>
    <x v="5"/>
    <x v="6"/>
    <x v="3"/>
    <x v="5"/>
    <x v="2"/>
    <x v="13"/>
    <n v="3"/>
    <n v="90"/>
    <n v="200"/>
    <n v="15"/>
    <n v="510"/>
    <n v="240"/>
    <x v="1"/>
    <x v="0"/>
    <x v="289"/>
    <x v="5"/>
  </r>
  <r>
    <d v="2025-01-25T00:00:00"/>
    <x v="3"/>
    <x v="3"/>
    <x v="3"/>
    <x v="1"/>
    <x v="3"/>
    <x v="6"/>
    <n v="2"/>
    <n v="20"/>
    <n v="200"/>
    <n v="20"/>
    <n v="320"/>
    <n v="280"/>
    <x v="2"/>
    <x v="0"/>
    <x v="66"/>
    <x v="0"/>
  </r>
  <r>
    <d v="2025-01-20T00:00:00"/>
    <x v="3"/>
    <x v="4"/>
    <x v="1"/>
    <x v="1"/>
    <x v="3"/>
    <x v="17"/>
    <n v="2"/>
    <n v="40"/>
    <n v="50"/>
    <n v="15"/>
    <n v="85"/>
    <n v="5"/>
    <x v="1"/>
    <x v="0"/>
    <x v="142"/>
    <x v="5"/>
  </r>
  <r>
    <d v="2025-10-09T00:00:00"/>
    <x v="9"/>
    <x v="6"/>
    <x v="1"/>
    <x v="4"/>
    <x v="4"/>
    <x v="18"/>
    <n v="2"/>
    <n v="67.5"/>
    <n v="100"/>
    <n v="20"/>
    <n v="160"/>
    <n v="25"/>
    <x v="0"/>
    <x v="0"/>
    <x v="290"/>
    <x v="3"/>
  </r>
  <r>
    <d v="2025-03-26T00:00:00"/>
    <x v="5"/>
    <x v="1"/>
    <x v="0"/>
    <x v="1"/>
    <x v="1"/>
    <x v="12"/>
    <n v="10"/>
    <n v="30"/>
    <n v="150"/>
    <n v="15"/>
    <n v="1275"/>
    <n v="975"/>
    <x v="0"/>
    <x v="0"/>
    <x v="291"/>
    <x v="4"/>
  </r>
  <r>
    <d v="2025-11-20T00:00:00"/>
    <x v="1"/>
    <x v="6"/>
    <x v="1"/>
    <x v="5"/>
    <x v="2"/>
    <x v="5"/>
    <n v="1"/>
    <n v="67.5"/>
    <n v="150"/>
    <n v="0"/>
    <n v="150"/>
    <n v="82.5"/>
    <x v="1"/>
    <x v="1"/>
    <x v="283"/>
    <x v="1"/>
  </r>
  <r>
    <d v="2025-04-28T00:00:00"/>
    <x v="2"/>
    <x v="4"/>
    <x v="1"/>
    <x v="0"/>
    <x v="0"/>
    <x v="0"/>
    <n v="10"/>
    <n v="45"/>
    <n v="150"/>
    <n v="15"/>
    <n v="1275"/>
    <n v="825"/>
    <x v="0"/>
    <x v="0"/>
    <x v="292"/>
    <x v="0"/>
  </r>
  <r>
    <d v="2025-01-21T00:00:00"/>
    <x v="3"/>
    <x v="5"/>
    <x v="2"/>
    <x v="3"/>
    <x v="4"/>
    <x v="15"/>
    <n v="2"/>
    <n v="90"/>
    <n v="50"/>
    <n v="15"/>
    <n v="85"/>
    <n v="-95"/>
    <x v="1"/>
    <x v="0"/>
    <x v="293"/>
    <x v="0"/>
  </r>
  <r>
    <d v="2025-11-15T00:00:00"/>
    <x v="1"/>
    <x v="3"/>
    <x v="1"/>
    <x v="5"/>
    <x v="1"/>
    <x v="12"/>
    <n v="5"/>
    <n v="40"/>
    <n v="200"/>
    <n v="0"/>
    <n v="1000"/>
    <n v="800"/>
    <x v="0"/>
    <x v="1"/>
    <x v="46"/>
    <x v="3"/>
  </r>
  <r>
    <d v="2025-04-19T00:00:00"/>
    <x v="2"/>
    <x v="3"/>
    <x v="4"/>
    <x v="2"/>
    <x v="2"/>
    <x v="2"/>
    <n v="3"/>
    <n v="45"/>
    <n v="100"/>
    <n v="5"/>
    <n v="285"/>
    <n v="150"/>
    <x v="0"/>
    <x v="0"/>
    <x v="294"/>
    <x v="1"/>
  </r>
  <r>
    <d v="2025-11-02T00:00:00"/>
    <x v="1"/>
    <x v="2"/>
    <x v="3"/>
    <x v="4"/>
    <x v="4"/>
    <x v="11"/>
    <n v="1"/>
    <n v="45"/>
    <n v="150"/>
    <n v="0"/>
    <n v="150"/>
    <n v="105"/>
    <x v="2"/>
    <x v="1"/>
    <x v="131"/>
    <x v="4"/>
  </r>
  <r>
    <d v="2025-10-24T00:00:00"/>
    <x v="9"/>
    <x v="0"/>
    <x v="4"/>
    <x v="2"/>
    <x v="3"/>
    <x v="3"/>
    <n v="2"/>
    <n v="40"/>
    <n v="100"/>
    <n v="5"/>
    <n v="190"/>
    <n v="110"/>
    <x v="2"/>
    <x v="0"/>
    <x v="295"/>
    <x v="2"/>
  </r>
  <r>
    <d v="2025-06-11T00:00:00"/>
    <x v="7"/>
    <x v="1"/>
    <x v="3"/>
    <x v="0"/>
    <x v="1"/>
    <x v="20"/>
    <n v="5"/>
    <n v="20"/>
    <n v="100"/>
    <n v="0"/>
    <n v="500"/>
    <n v="400"/>
    <x v="1"/>
    <x v="1"/>
    <x v="25"/>
    <x v="3"/>
  </r>
  <r>
    <d v="2025-08-01T00:00:00"/>
    <x v="6"/>
    <x v="0"/>
    <x v="0"/>
    <x v="5"/>
    <x v="0"/>
    <x v="10"/>
    <n v="1"/>
    <n v="45"/>
    <n v="150"/>
    <n v="5"/>
    <n v="142.5"/>
    <n v="97.5"/>
    <x v="2"/>
    <x v="0"/>
    <x v="296"/>
    <x v="4"/>
  </r>
  <r>
    <d v="2025-10-05T00:00:00"/>
    <x v="9"/>
    <x v="2"/>
    <x v="1"/>
    <x v="4"/>
    <x v="1"/>
    <x v="1"/>
    <n v="3"/>
    <n v="30"/>
    <n v="150"/>
    <n v="0"/>
    <n v="450"/>
    <n v="360"/>
    <x v="0"/>
    <x v="1"/>
    <x v="297"/>
    <x v="5"/>
  </r>
  <r>
    <d v="2025-12-21T00:00:00"/>
    <x v="8"/>
    <x v="2"/>
    <x v="0"/>
    <x v="2"/>
    <x v="1"/>
    <x v="14"/>
    <n v="2"/>
    <n v="30"/>
    <n v="150"/>
    <n v="20"/>
    <n v="240"/>
    <n v="180"/>
    <x v="0"/>
    <x v="0"/>
    <x v="298"/>
    <x v="0"/>
  </r>
  <r>
    <d v="2025-08-27T00:00:00"/>
    <x v="6"/>
    <x v="1"/>
    <x v="0"/>
    <x v="6"/>
    <x v="4"/>
    <x v="18"/>
    <n v="1"/>
    <n v="90"/>
    <n v="50"/>
    <n v="20"/>
    <n v="40"/>
    <n v="-50"/>
    <x v="0"/>
    <x v="0"/>
    <x v="299"/>
    <x v="1"/>
  </r>
  <r>
    <d v="2025-10-22T00:00:00"/>
    <x v="9"/>
    <x v="1"/>
    <x v="0"/>
    <x v="1"/>
    <x v="2"/>
    <x v="5"/>
    <n v="3"/>
    <n v="90"/>
    <n v="200"/>
    <n v="15"/>
    <n v="510"/>
    <n v="240"/>
    <x v="1"/>
    <x v="0"/>
    <x v="300"/>
    <x v="3"/>
  </r>
  <r>
    <d v="2025-08-10T00:00:00"/>
    <x v="6"/>
    <x v="2"/>
    <x v="4"/>
    <x v="6"/>
    <x v="3"/>
    <x v="8"/>
    <n v="5"/>
    <n v="40"/>
    <n v="200"/>
    <n v="0"/>
    <n v="1000"/>
    <n v="800"/>
    <x v="2"/>
    <x v="1"/>
    <x v="189"/>
    <x v="2"/>
  </r>
  <r>
    <d v="2025-05-25T00:00:00"/>
    <x v="4"/>
    <x v="2"/>
    <x v="3"/>
    <x v="5"/>
    <x v="3"/>
    <x v="6"/>
    <n v="1"/>
    <n v="100"/>
    <n v="100"/>
    <n v="20"/>
    <n v="80"/>
    <n v="-20"/>
    <x v="1"/>
    <x v="0"/>
    <x v="301"/>
    <x v="5"/>
  </r>
  <r>
    <d v="2025-09-01T00:00:00"/>
    <x v="0"/>
    <x v="4"/>
    <x v="0"/>
    <x v="4"/>
    <x v="4"/>
    <x v="7"/>
    <n v="10"/>
    <n v="67.5"/>
    <n v="250"/>
    <n v="10"/>
    <n v="2250"/>
    <n v="1575"/>
    <x v="1"/>
    <x v="0"/>
    <x v="302"/>
    <x v="3"/>
  </r>
  <r>
    <d v="2025-09-11T00:00:00"/>
    <x v="0"/>
    <x v="6"/>
    <x v="4"/>
    <x v="4"/>
    <x v="1"/>
    <x v="9"/>
    <n v="3"/>
    <n v="30"/>
    <n v="150"/>
    <n v="15"/>
    <n v="382.5"/>
    <n v="292.5"/>
    <x v="2"/>
    <x v="0"/>
    <x v="181"/>
    <x v="4"/>
  </r>
  <r>
    <d v="2025-08-23T00:00:00"/>
    <x v="6"/>
    <x v="3"/>
    <x v="3"/>
    <x v="4"/>
    <x v="4"/>
    <x v="18"/>
    <n v="2"/>
    <n v="22.5"/>
    <n v="150"/>
    <n v="0"/>
    <n v="300"/>
    <n v="255"/>
    <x v="1"/>
    <x v="1"/>
    <x v="303"/>
    <x v="4"/>
  </r>
  <r>
    <d v="2025-11-25T00:00:00"/>
    <x v="1"/>
    <x v="5"/>
    <x v="1"/>
    <x v="2"/>
    <x v="1"/>
    <x v="20"/>
    <n v="2"/>
    <n v="10"/>
    <n v="50"/>
    <n v="10"/>
    <n v="90"/>
    <n v="70"/>
    <x v="1"/>
    <x v="0"/>
    <x v="200"/>
    <x v="1"/>
  </r>
  <r>
    <d v="2025-07-05T00:00:00"/>
    <x v="11"/>
    <x v="3"/>
    <x v="3"/>
    <x v="0"/>
    <x v="2"/>
    <x v="5"/>
    <n v="2"/>
    <n v="112.5"/>
    <n v="250"/>
    <n v="5"/>
    <n v="475"/>
    <n v="250"/>
    <x v="0"/>
    <x v="0"/>
    <x v="186"/>
    <x v="0"/>
  </r>
  <r>
    <d v="2025-08-25T00:00:00"/>
    <x v="6"/>
    <x v="4"/>
    <x v="3"/>
    <x v="1"/>
    <x v="3"/>
    <x v="17"/>
    <n v="2"/>
    <n v="60"/>
    <n v="200"/>
    <n v="10"/>
    <n v="360"/>
    <n v="240"/>
    <x v="0"/>
    <x v="0"/>
    <x v="304"/>
    <x v="1"/>
  </r>
  <r>
    <d v="2025-05-12T00:00:00"/>
    <x v="4"/>
    <x v="4"/>
    <x v="1"/>
    <x v="4"/>
    <x v="1"/>
    <x v="20"/>
    <n v="2"/>
    <n v="30"/>
    <n v="150"/>
    <n v="15"/>
    <n v="255"/>
    <n v="195"/>
    <x v="0"/>
    <x v="0"/>
    <x v="305"/>
    <x v="2"/>
  </r>
  <r>
    <d v="2025-03-06T00:00:00"/>
    <x v="5"/>
    <x v="6"/>
    <x v="2"/>
    <x v="5"/>
    <x v="4"/>
    <x v="11"/>
    <n v="2"/>
    <n v="67.5"/>
    <n v="200"/>
    <n v="0"/>
    <n v="400"/>
    <n v="265"/>
    <x v="1"/>
    <x v="1"/>
    <x v="128"/>
    <x v="0"/>
  </r>
  <r>
    <d v="2025-01-27T00:00:00"/>
    <x v="3"/>
    <x v="4"/>
    <x v="4"/>
    <x v="4"/>
    <x v="4"/>
    <x v="7"/>
    <n v="2"/>
    <n v="45"/>
    <n v="150"/>
    <n v="15"/>
    <n v="255"/>
    <n v="165"/>
    <x v="1"/>
    <x v="0"/>
    <x v="306"/>
    <x v="0"/>
  </r>
  <r>
    <d v="2025-11-12T00:00:00"/>
    <x v="1"/>
    <x v="1"/>
    <x v="2"/>
    <x v="3"/>
    <x v="3"/>
    <x v="17"/>
    <n v="2"/>
    <n v="60"/>
    <n v="100"/>
    <n v="15"/>
    <n v="170"/>
    <n v="50"/>
    <x v="0"/>
    <x v="0"/>
    <x v="307"/>
    <x v="4"/>
  </r>
  <r>
    <d v="2025-10-11T00:00:00"/>
    <x v="9"/>
    <x v="3"/>
    <x v="3"/>
    <x v="2"/>
    <x v="4"/>
    <x v="18"/>
    <n v="1"/>
    <n v="67.5"/>
    <n v="150"/>
    <n v="0"/>
    <n v="150"/>
    <n v="82.5"/>
    <x v="2"/>
    <x v="1"/>
    <x v="308"/>
    <x v="3"/>
  </r>
  <r>
    <d v="2025-05-25T00:00:00"/>
    <x v="4"/>
    <x v="2"/>
    <x v="0"/>
    <x v="5"/>
    <x v="1"/>
    <x v="1"/>
    <n v="3"/>
    <n v="30"/>
    <n v="150"/>
    <n v="15"/>
    <n v="382.5"/>
    <n v="292.5"/>
    <x v="1"/>
    <x v="0"/>
    <x v="309"/>
    <x v="4"/>
  </r>
  <r>
    <d v="2025-06-14T00:00:00"/>
    <x v="7"/>
    <x v="3"/>
    <x v="2"/>
    <x v="0"/>
    <x v="0"/>
    <x v="0"/>
    <n v="10"/>
    <n v="45"/>
    <n v="150"/>
    <n v="20"/>
    <n v="1200"/>
    <n v="750"/>
    <x v="2"/>
    <x v="0"/>
    <x v="217"/>
    <x v="4"/>
  </r>
  <r>
    <d v="2025-01-24T00:00:00"/>
    <x v="3"/>
    <x v="0"/>
    <x v="0"/>
    <x v="1"/>
    <x v="3"/>
    <x v="3"/>
    <n v="2"/>
    <n v="40"/>
    <n v="200"/>
    <n v="0"/>
    <n v="400"/>
    <n v="320"/>
    <x v="2"/>
    <x v="1"/>
    <x v="310"/>
    <x v="2"/>
  </r>
  <r>
    <d v="2025-11-12T00:00:00"/>
    <x v="1"/>
    <x v="1"/>
    <x v="2"/>
    <x v="3"/>
    <x v="3"/>
    <x v="17"/>
    <n v="2"/>
    <n v="60"/>
    <n v="100"/>
    <n v="15"/>
    <n v="170"/>
    <n v="50"/>
    <x v="0"/>
    <x v="0"/>
    <x v="307"/>
    <x v="4"/>
  </r>
  <r>
    <d v="2025-02-04T00:00:00"/>
    <x v="10"/>
    <x v="5"/>
    <x v="3"/>
    <x v="5"/>
    <x v="3"/>
    <x v="6"/>
    <n v="2"/>
    <n v="100"/>
    <n v="150"/>
    <n v="15"/>
    <n v="255"/>
    <n v="55"/>
    <x v="2"/>
    <x v="0"/>
    <x v="189"/>
    <x v="0"/>
  </r>
  <r>
    <d v="2025-10-27T00:00:00"/>
    <x v="9"/>
    <x v="4"/>
    <x v="4"/>
    <x v="2"/>
    <x v="0"/>
    <x v="0"/>
    <n v="2"/>
    <n v="75"/>
    <n v="250"/>
    <n v="0"/>
    <n v="500"/>
    <n v="350"/>
    <x v="2"/>
    <x v="1"/>
    <x v="311"/>
    <x v="0"/>
  </r>
  <r>
    <d v="2025-01-26T00:00:00"/>
    <x v="3"/>
    <x v="2"/>
    <x v="0"/>
    <x v="0"/>
    <x v="0"/>
    <x v="0"/>
    <n v="1"/>
    <n v="30"/>
    <n v="100"/>
    <n v="5"/>
    <n v="95"/>
    <n v="65"/>
    <x v="0"/>
    <x v="0"/>
    <x v="312"/>
    <x v="1"/>
  </r>
  <r>
    <d v="2025-02-10T00:00:00"/>
    <x v="10"/>
    <x v="4"/>
    <x v="2"/>
    <x v="5"/>
    <x v="4"/>
    <x v="7"/>
    <n v="5"/>
    <n v="112.5"/>
    <n v="250"/>
    <n v="10"/>
    <n v="1125"/>
    <n v="562.5"/>
    <x v="2"/>
    <x v="0"/>
    <x v="266"/>
    <x v="3"/>
  </r>
  <r>
    <d v="2025-02-06T00:00:00"/>
    <x v="10"/>
    <x v="6"/>
    <x v="3"/>
    <x v="4"/>
    <x v="1"/>
    <x v="1"/>
    <n v="1"/>
    <n v="50"/>
    <n v="250"/>
    <n v="10"/>
    <n v="225"/>
    <n v="175"/>
    <x v="0"/>
    <x v="0"/>
    <x v="127"/>
    <x v="2"/>
  </r>
  <r>
    <d v="2025-06-01T00:00:00"/>
    <x v="7"/>
    <x v="2"/>
    <x v="2"/>
    <x v="4"/>
    <x v="2"/>
    <x v="16"/>
    <n v="1"/>
    <n v="67.5"/>
    <n v="150"/>
    <n v="10"/>
    <n v="135"/>
    <n v="67.5"/>
    <x v="2"/>
    <x v="0"/>
    <x v="159"/>
    <x v="1"/>
  </r>
  <r>
    <d v="2025-07-05T00:00:00"/>
    <x v="11"/>
    <x v="3"/>
    <x v="4"/>
    <x v="1"/>
    <x v="2"/>
    <x v="16"/>
    <n v="10"/>
    <n v="112.5"/>
    <n v="250"/>
    <n v="0"/>
    <n v="2500"/>
    <n v="1375"/>
    <x v="1"/>
    <x v="1"/>
    <x v="194"/>
    <x v="0"/>
  </r>
  <r>
    <d v="2025-10-01T00:00:00"/>
    <x v="9"/>
    <x v="1"/>
    <x v="0"/>
    <x v="3"/>
    <x v="0"/>
    <x v="0"/>
    <n v="5"/>
    <n v="45"/>
    <n v="150"/>
    <n v="20"/>
    <n v="600"/>
    <n v="375"/>
    <x v="2"/>
    <x v="0"/>
    <x v="313"/>
    <x v="4"/>
  </r>
  <r>
    <d v="2025-04-04T00:00:00"/>
    <x v="2"/>
    <x v="0"/>
    <x v="1"/>
    <x v="0"/>
    <x v="1"/>
    <x v="1"/>
    <n v="2"/>
    <n v="30"/>
    <n v="150"/>
    <n v="15"/>
    <n v="255"/>
    <n v="195"/>
    <x v="0"/>
    <x v="0"/>
    <x v="314"/>
    <x v="0"/>
  </r>
  <r>
    <d v="2025-05-24T00:00:00"/>
    <x v="4"/>
    <x v="3"/>
    <x v="1"/>
    <x v="5"/>
    <x v="3"/>
    <x v="6"/>
    <n v="3"/>
    <n v="60"/>
    <n v="100"/>
    <n v="5"/>
    <n v="285"/>
    <n v="105"/>
    <x v="1"/>
    <x v="0"/>
    <x v="308"/>
    <x v="2"/>
  </r>
  <r>
    <d v="2025-10-04T00:00:00"/>
    <x v="9"/>
    <x v="3"/>
    <x v="0"/>
    <x v="3"/>
    <x v="0"/>
    <x v="22"/>
    <n v="1"/>
    <n v="45"/>
    <n v="150"/>
    <n v="5"/>
    <n v="142.5"/>
    <n v="97.5"/>
    <x v="0"/>
    <x v="0"/>
    <x v="315"/>
    <x v="2"/>
  </r>
  <r>
    <d v="2025-09-04T00:00:00"/>
    <x v="0"/>
    <x v="6"/>
    <x v="0"/>
    <x v="3"/>
    <x v="2"/>
    <x v="16"/>
    <n v="2"/>
    <n v="90"/>
    <n v="200"/>
    <n v="20"/>
    <n v="320"/>
    <n v="140"/>
    <x v="1"/>
    <x v="0"/>
    <x v="316"/>
    <x v="0"/>
  </r>
  <r>
    <d v="2025-12-21T00:00:00"/>
    <x v="8"/>
    <x v="2"/>
    <x v="0"/>
    <x v="6"/>
    <x v="4"/>
    <x v="18"/>
    <n v="5"/>
    <n v="22.5"/>
    <n v="150"/>
    <n v="15"/>
    <n v="637.5"/>
    <n v="525"/>
    <x v="2"/>
    <x v="0"/>
    <x v="317"/>
    <x v="1"/>
  </r>
  <r>
    <d v="2025-12-10T00:00:00"/>
    <x v="8"/>
    <x v="1"/>
    <x v="4"/>
    <x v="5"/>
    <x v="2"/>
    <x v="5"/>
    <n v="5"/>
    <n v="22.5"/>
    <n v="50"/>
    <n v="0"/>
    <n v="250"/>
    <n v="137.5"/>
    <x v="2"/>
    <x v="1"/>
    <x v="176"/>
    <x v="3"/>
  </r>
  <r>
    <d v="2025-07-03T00:00:00"/>
    <x v="11"/>
    <x v="6"/>
    <x v="2"/>
    <x v="5"/>
    <x v="2"/>
    <x v="13"/>
    <n v="5"/>
    <n v="90"/>
    <n v="200"/>
    <n v="5"/>
    <n v="950"/>
    <n v="500"/>
    <x v="0"/>
    <x v="0"/>
    <x v="318"/>
    <x v="5"/>
  </r>
  <r>
    <d v="2025-04-17T00:00:00"/>
    <x v="2"/>
    <x v="6"/>
    <x v="1"/>
    <x v="0"/>
    <x v="4"/>
    <x v="4"/>
    <n v="2"/>
    <n v="67.5"/>
    <n v="150"/>
    <n v="0"/>
    <n v="300"/>
    <n v="165"/>
    <x v="0"/>
    <x v="1"/>
    <x v="319"/>
    <x v="5"/>
  </r>
  <r>
    <d v="2025-02-21T00:00:00"/>
    <x v="10"/>
    <x v="0"/>
    <x v="3"/>
    <x v="4"/>
    <x v="1"/>
    <x v="1"/>
    <n v="3"/>
    <n v="30"/>
    <n v="150"/>
    <n v="5"/>
    <n v="427.5"/>
    <n v="337.5"/>
    <x v="1"/>
    <x v="0"/>
    <x v="192"/>
    <x v="2"/>
  </r>
  <r>
    <d v="2025-01-25T00:00:00"/>
    <x v="3"/>
    <x v="3"/>
    <x v="1"/>
    <x v="0"/>
    <x v="2"/>
    <x v="5"/>
    <n v="2"/>
    <n v="22.5"/>
    <n v="50"/>
    <n v="0"/>
    <n v="100"/>
    <n v="55"/>
    <x v="2"/>
    <x v="1"/>
    <x v="245"/>
    <x v="3"/>
  </r>
  <r>
    <d v="2025-12-21T00:00:00"/>
    <x v="8"/>
    <x v="2"/>
    <x v="4"/>
    <x v="2"/>
    <x v="3"/>
    <x v="6"/>
    <n v="3"/>
    <n v="60"/>
    <n v="150"/>
    <n v="10"/>
    <n v="405"/>
    <n v="225"/>
    <x v="2"/>
    <x v="0"/>
    <x v="320"/>
    <x v="0"/>
  </r>
  <r>
    <d v="2025-01-08T00:00:00"/>
    <x v="3"/>
    <x v="1"/>
    <x v="4"/>
    <x v="1"/>
    <x v="2"/>
    <x v="16"/>
    <n v="2"/>
    <n v="67.5"/>
    <n v="150"/>
    <n v="0"/>
    <n v="300"/>
    <n v="165"/>
    <x v="0"/>
    <x v="1"/>
    <x v="321"/>
    <x v="4"/>
  </r>
  <r>
    <d v="2025-06-09T00:00:00"/>
    <x v="7"/>
    <x v="4"/>
    <x v="2"/>
    <x v="3"/>
    <x v="4"/>
    <x v="4"/>
    <n v="2"/>
    <n v="45"/>
    <n v="50"/>
    <n v="0"/>
    <n v="100"/>
    <n v="10"/>
    <x v="0"/>
    <x v="1"/>
    <x v="322"/>
    <x v="0"/>
  </r>
  <r>
    <d v="2025-04-23T00:00:00"/>
    <x v="2"/>
    <x v="1"/>
    <x v="1"/>
    <x v="5"/>
    <x v="4"/>
    <x v="18"/>
    <n v="1"/>
    <n v="90"/>
    <n v="100"/>
    <n v="0"/>
    <n v="100"/>
    <n v="10"/>
    <x v="2"/>
    <x v="1"/>
    <x v="323"/>
    <x v="3"/>
  </r>
  <r>
    <d v="2025-11-01T00:00:00"/>
    <x v="1"/>
    <x v="3"/>
    <x v="0"/>
    <x v="0"/>
    <x v="3"/>
    <x v="6"/>
    <n v="10"/>
    <n v="40"/>
    <n v="200"/>
    <n v="15"/>
    <n v="1700"/>
    <n v="1300"/>
    <x v="1"/>
    <x v="0"/>
    <x v="324"/>
    <x v="5"/>
  </r>
  <r>
    <d v="2025-08-17T00:00:00"/>
    <x v="6"/>
    <x v="2"/>
    <x v="0"/>
    <x v="2"/>
    <x v="3"/>
    <x v="8"/>
    <n v="1"/>
    <n v="80"/>
    <n v="100"/>
    <n v="10"/>
    <n v="90"/>
    <n v="10"/>
    <x v="2"/>
    <x v="0"/>
    <x v="260"/>
    <x v="0"/>
  </r>
  <r>
    <d v="2025-01-01T00:00:00"/>
    <x v="3"/>
    <x v="1"/>
    <x v="1"/>
    <x v="0"/>
    <x v="1"/>
    <x v="20"/>
    <n v="3"/>
    <n v="40"/>
    <n v="200"/>
    <n v="0"/>
    <n v="600"/>
    <n v="480"/>
    <x v="2"/>
    <x v="1"/>
    <x v="325"/>
    <x v="0"/>
  </r>
  <r>
    <d v="2025-02-16T00:00:00"/>
    <x v="10"/>
    <x v="2"/>
    <x v="0"/>
    <x v="6"/>
    <x v="3"/>
    <x v="8"/>
    <n v="1"/>
    <n v="80"/>
    <n v="250"/>
    <n v="5"/>
    <n v="237.5"/>
    <n v="157.5"/>
    <x v="1"/>
    <x v="0"/>
    <x v="282"/>
    <x v="1"/>
  </r>
  <r>
    <d v="2025-05-22T00:00:00"/>
    <x v="4"/>
    <x v="6"/>
    <x v="1"/>
    <x v="2"/>
    <x v="3"/>
    <x v="17"/>
    <n v="5"/>
    <n v="40"/>
    <n v="200"/>
    <n v="0"/>
    <n v="1000"/>
    <n v="800"/>
    <x v="0"/>
    <x v="1"/>
    <x v="326"/>
    <x v="3"/>
  </r>
  <r>
    <d v="2025-08-04T00:00:00"/>
    <x v="6"/>
    <x v="4"/>
    <x v="0"/>
    <x v="2"/>
    <x v="0"/>
    <x v="22"/>
    <n v="1"/>
    <n v="30"/>
    <n v="100"/>
    <n v="20"/>
    <n v="80"/>
    <n v="50"/>
    <x v="0"/>
    <x v="0"/>
    <x v="324"/>
    <x v="0"/>
  </r>
  <r>
    <d v="2025-04-22T00:00:00"/>
    <x v="2"/>
    <x v="5"/>
    <x v="3"/>
    <x v="5"/>
    <x v="2"/>
    <x v="2"/>
    <n v="3"/>
    <n v="112.5"/>
    <n v="250"/>
    <n v="20"/>
    <n v="600"/>
    <n v="262.5"/>
    <x v="2"/>
    <x v="0"/>
    <x v="327"/>
    <x v="0"/>
  </r>
  <r>
    <d v="2025-01-09T00:00:00"/>
    <x v="3"/>
    <x v="6"/>
    <x v="1"/>
    <x v="5"/>
    <x v="2"/>
    <x v="16"/>
    <n v="1"/>
    <n v="22.5"/>
    <n v="50"/>
    <n v="15"/>
    <n v="42.5"/>
    <n v="20"/>
    <x v="0"/>
    <x v="0"/>
    <x v="93"/>
    <x v="3"/>
  </r>
  <r>
    <d v="2025-08-02T00:00:00"/>
    <x v="6"/>
    <x v="3"/>
    <x v="0"/>
    <x v="3"/>
    <x v="3"/>
    <x v="17"/>
    <n v="5"/>
    <n v="100"/>
    <n v="150"/>
    <n v="20"/>
    <n v="600"/>
    <n v="100"/>
    <x v="0"/>
    <x v="0"/>
    <x v="328"/>
    <x v="5"/>
  </r>
  <r>
    <d v="2025-02-19T00:00:00"/>
    <x v="10"/>
    <x v="1"/>
    <x v="1"/>
    <x v="1"/>
    <x v="4"/>
    <x v="7"/>
    <n v="3"/>
    <n v="112.5"/>
    <n v="250"/>
    <n v="0"/>
    <n v="750"/>
    <n v="412.5"/>
    <x v="2"/>
    <x v="1"/>
    <x v="327"/>
    <x v="3"/>
  </r>
  <r>
    <d v="2025-01-03T00:00:00"/>
    <x v="3"/>
    <x v="0"/>
    <x v="1"/>
    <x v="2"/>
    <x v="2"/>
    <x v="5"/>
    <n v="3"/>
    <n v="112.5"/>
    <n v="250"/>
    <n v="10"/>
    <n v="675"/>
    <n v="337.5"/>
    <x v="0"/>
    <x v="0"/>
    <x v="44"/>
    <x v="4"/>
  </r>
  <r>
    <d v="2025-11-27T00:00:00"/>
    <x v="1"/>
    <x v="6"/>
    <x v="0"/>
    <x v="3"/>
    <x v="3"/>
    <x v="3"/>
    <n v="2"/>
    <n v="60"/>
    <n v="200"/>
    <n v="5"/>
    <n v="380"/>
    <n v="260"/>
    <x v="1"/>
    <x v="0"/>
    <x v="329"/>
    <x v="0"/>
  </r>
  <r>
    <d v="2025-01-17T00:00:00"/>
    <x v="3"/>
    <x v="0"/>
    <x v="3"/>
    <x v="4"/>
    <x v="4"/>
    <x v="7"/>
    <n v="10"/>
    <n v="112.5"/>
    <n v="150"/>
    <n v="10"/>
    <n v="1350"/>
    <n v="225"/>
    <x v="1"/>
    <x v="0"/>
    <x v="330"/>
    <x v="3"/>
  </r>
  <r>
    <d v="2025-09-11T00:00:00"/>
    <x v="0"/>
    <x v="6"/>
    <x v="0"/>
    <x v="2"/>
    <x v="2"/>
    <x v="5"/>
    <n v="1"/>
    <n v="112.5"/>
    <n v="250"/>
    <n v="5"/>
    <n v="237.5"/>
    <n v="125"/>
    <x v="1"/>
    <x v="0"/>
    <x v="331"/>
    <x v="4"/>
  </r>
  <r>
    <d v="2025-01-19T00:00:00"/>
    <x v="3"/>
    <x v="2"/>
    <x v="1"/>
    <x v="4"/>
    <x v="2"/>
    <x v="13"/>
    <n v="5"/>
    <n v="22.5"/>
    <n v="50"/>
    <n v="20"/>
    <n v="200"/>
    <n v="87.5"/>
    <x v="0"/>
    <x v="0"/>
    <x v="121"/>
    <x v="5"/>
  </r>
  <r>
    <d v="2025-06-04T00:00:00"/>
    <x v="7"/>
    <x v="1"/>
    <x v="3"/>
    <x v="6"/>
    <x v="4"/>
    <x v="7"/>
    <n v="3"/>
    <n v="45"/>
    <n v="150"/>
    <n v="5"/>
    <n v="427.5"/>
    <n v="292.5"/>
    <x v="0"/>
    <x v="0"/>
    <x v="332"/>
    <x v="5"/>
  </r>
  <r>
    <d v="2025-12-18T00:00:00"/>
    <x v="8"/>
    <x v="6"/>
    <x v="3"/>
    <x v="4"/>
    <x v="3"/>
    <x v="8"/>
    <n v="2"/>
    <n v="60"/>
    <n v="100"/>
    <n v="0"/>
    <n v="200"/>
    <n v="80"/>
    <x v="1"/>
    <x v="1"/>
    <x v="319"/>
    <x v="5"/>
  </r>
  <r>
    <d v="2025-02-23T00:00:00"/>
    <x v="10"/>
    <x v="2"/>
    <x v="2"/>
    <x v="6"/>
    <x v="2"/>
    <x v="13"/>
    <n v="1"/>
    <n v="67.5"/>
    <n v="150"/>
    <n v="0"/>
    <n v="150"/>
    <n v="82.5"/>
    <x v="0"/>
    <x v="1"/>
    <x v="23"/>
    <x v="4"/>
  </r>
  <r>
    <d v="2025-10-26T00:00:00"/>
    <x v="9"/>
    <x v="2"/>
    <x v="2"/>
    <x v="2"/>
    <x v="3"/>
    <x v="17"/>
    <n v="2"/>
    <n v="100"/>
    <n v="150"/>
    <n v="0"/>
    <n v="300"/>
    <n v="100"/>
    <x v="1"/>
    <x v="1"/>
    <x v="305"/>
    <x v="0"/>
  </r>
  <r>
    <d v="2025-09-02T00:00:00"/>
    <x v="0"/>
    <x v="5"/>
    <x v="0"/>
    <x v="2"/>
    <x v="3"/>
    <x v="17"/>
    <n v="2"/>
    <n v="60"/>
    <n v="250"/>
    <n v="0"/>
    <n v="500"/>
    <n v="380"/>
    <x v="1"/>
    <x v="1"/>
    <x v="333"/>
    <x v="0"/>
  </r>
  <r>
    <d v="2025-06-09T00:00:00"/>
    <x v="7"/>
    <x v="4"/>
    <x v="0"/>
    <x v="1"/>
    <x v="4"/>
    <x v="4"/>
    <n v="2"/>
    <n v="45"/>
    <n v="150"/>
    <n v="5"/>
    <n v="285"/>
    <n v="195"/>
    <x v="1"/>
    <x v="0"/>
    <x v="334"/>
    <x v="0"/>
  </r>
  <r>
    <d v="2025-05-05T00:00:00"/>
    <x v="4"/>
    <x v="4"/>
    <x v="2"/>
    <x v="2"/>
    <x v="2"/>
    <x v="16"/>
    <n v="2"/>
    <n v="45"/>
    <n v="100"/>
    <n v="20"/>
    <n v="160"/>
    <n v="70"/>
    <x v="2"/>
    <x v="0"/>
    <x v="335"/>
    <x v="2"/>
  </r>
  <r>
    <d v="2025-03-03T00:00:00"/>
    <x v="5"/>
    <x v="4"/>
    <x v="4"/>
    <x v="1"/>
    <x v="0"/>
    <x v="0"/>
    <n v="1"/>
    <n v="60"/>
    <n v="200"/>
    <n v="5"/>
    <n v="190"/>
    <n v="130"/>
    <x v="2"/>
    <x v="0"/>
    <x v="336"/>
    <x v="2"/>
  </r>
  <r>
    <d v="2025-05-24T00:00:00"/>
    <x v="4"/>
    <x v="3"/>
    <x v="2"/>
    <x v="3"/>
    <x v="1"/>
    <x v="1"/>
    <n v="5"/>
    <n v="20"/>
    <n v="100"/>
    <n v="10"/>
    <n v="450"/>
    <n v="350"/>
    <x v="2"/>
    <x v="0"/>
    <x v="146"/>
    <x v="0"/>
  </r>
  <r>
    <d v="2025-03-08T00:00:00"/>
    <x v="5"/>
    <x v="3"/>
    <x v="2"/>
    <x v="6"/>
    <x v="3"/>
    <x v="3"/>
    <n v="1"/>
    <n v="80"/>
    <n v="50"/>
    <n v="0"/>
    <n v="50"/>
    <n v="-30"/>
    <x v="2"/>
    <x v="1"/>
    <x v="174"/>
    <x v="5"/>
  </r>
  <r>
    <d v="2025-11-04T00:00:00"/>
    <x v="1"/>
    <x v="5"/>
    <x v="2"/>
    <x v="5"/>
    <x v="2"/>
    <x v="2"/>
    <n v="5"/>
    <n v="90"/>
    <n v="200"/>
    <n v="5"/>
    <n v="950"/>
    <n v="500"/>
    <x v="0"/>
    <x v="0"/>
    <x v="133"/>
    <x v="3"/>
  </r>
  <r>
    <d v="2025-06-20T00:00:00"/>
    <x v="7"/>
    <x v="0"/>
    <x v="1"/>
    <x v="3"/>
    <x v="4"/>
    <x v="7"/>
    <n v="2"/>
    <n v="67.5"/>
    <n v="200"/>
    <n v="0"/>
    <n v="400"/>
    <n v="265"/>
    <x v="0"/>
    <x v="1"/>
    <x v="169"/>
    <x v="0"/>
  </r>
  <r>
    <d v="2025-03-01T00:00:00"/>
    <x v="5"/>
    <x v="3"/>
    <x v="3"/>
    <x v="1"/>
    <x v="2"/>
    <x v="13"/>
    <n v="1"/>
    <n v="67.5"/>
    <n v="150"/>
    <n v="0"/>
    <n v="150"/>
    <n v="82.5"/>
    <x v="1"/>
    <x v="1"/>
    <x v="276"/>
    <x v="3"/>
  </r>
  <r>
    <d v="2025-04-01T00:00:00"/>
    <x v="2"/>
    <x v="5"/>
    <x v="3"/>
    <x v="2"/>
    <x v="3"/>
    <x v="6"/>
    <n v="10"/>
    <n v="100"/>
    <n v="200"/>
    <n v="15"/>
    <n v="1700"/>
    <n v="700"/>
    <x v="1"/>
    <x v="0"/>
    <x v="328"/>
    <x v="0"/>
  </r>
  <r>
    <d v="2025-11-27T00:00:00"/>
    <x v="1"/>
    <x v="6"/>
    <x v="4"/>
    <x v="0"/>
    <x v="0"/>
    <x v="22"/>
    <n v="2"/>
    <n v="75"/>
    <n v="250"/>
    <n v="15"/>
    <n v="425"/>
    <n v="275"/>
    <x v="0"/>
    <x v="0"/>
    <x v="337"/>
    <x v="4"/>
  </r>
  <r>
    <d v="2025-04-10T00:00:00"/>
    <x v="2"/>
    <x v="6"/>
    <x v="4"/>
    <x v="0"/>
    <x v="2"/>
    <x v="16"/>
    <n v="3"/>
    <n v="67.5"/>
    <n v="150"/>
    <n v="0"/>
    <n v="450"/>
    <n v="247.5"/>
    <x v="0"/>
    <x v="1"/>
    <x v="114"/>
    <x v="4"/>
  </r>
  <r>
    <d v="2025-10-25T00:00:00"/>
    <x v="9"/>
    <x v="3"/>
    <x v="0"/>
    <x v="5"/>
    <x v="1"/>
    <x v="20"/>
    <n v="3"/>
    <n v="20"/>
    <n v="100"/>
    <n v="15"/>
    <n v="255"/>
    <n v="195"/>
    <x v="1"/>
    <x v="0"/>
    <x v="30"/>
    <x v="2"/>
  </r>
  <r>
    <d v="2025-07-25T00:00:00"/>
    <x v="11"/>
    <x v="0"/>
    <x v="2"/>
    <x v="3"/>
    <x v="0"/>
    <x v="22"/>
    <n v="2"/>
    <n v="30"/>
    <n v="100"/>
    <n v="5"/>
    <n v="190"/>
    <n v="130"/>
    <x v="2"/>
    <x v="0"/>
    <x v="314"/>
    <x v="0"/>
  </r>
  <r>
    <d v="2025-03-20T00:00:00"/>
    <x v="5"/>
    <x v="6"/>
    <x v="1"/>
    <x v="0"/>
    <x v="1"/>
    <x v="9"/>
    <n v="10"/>
    <n v="10"/>
    <n v="50"/>
    <n v="10"/>
    <n v="450"/>
    <n v="350"/>
    <x v="0"/>
    <x v="0"/>
    <x v="171"/>
    <x v="3"/>
  </r>
  <r>
    <d v="2025-06-08T00:00:00"/>
    <x v="7"/>
    <x v="2"/>
    <x v="3"/>
    <x v="1"/>
    <x v="0"/>
    <x v="21"/>
    <n v="2"/>
    <n v="45"/>
    <n v="150"/>
    <n v="20"/>
    <n v="240"/>
    <n v="150"/>
    <x v="2"/>
    <x v="0"/>
    <x v="338"/>
    <x v="0"/>
  </r>
  <r>
    <d v="2025-04-17T00:00:00"/>
    <x v="2"/>
    <x v="6"/>
    <x v="2"/>
    <x v="3"/>
    <x v="0"/>
    <x v="0"/>
    <n v="2"/>
    <n v="15"/>
    <n v="50"/>
    <n v="15"/>
    <n v="85"/>
    <n v="55"/>
    <x v="2"/>
    <x v="0"/>
    <x v="339"/>
    <x v="4"/>
  </r>
  <r>
    <d v="2025-05-04T00:00:00"/>
    <x v="4"/>
    <x v="2"/>
    <x v="4"/>
    <x v="1"/>
    <x v="0"/>
    <x v="10"/>
    <n v="2"/>
    <n v="15"/>
    <n v="50"/>
    <n v="5"/>
    <n v="95"/>
    <n v="65"/>
    <x v="0"/>
    <x v="0"/>
    <x v="340"/>
    <x v="1"/>
  </r>
  <r>
    <d v="2025-12-14T00:00:00"/>
    <x v="8"/>
    <x v="2"/>
    <x v="2"/>
    <x v="0"/>
    <x v="2"/>
    <x v="13"/>
    <n v="10"/>
    <n v="45"/>
    <n v="100"/>
    <n v="10"/>
    <n v="900"/>
    <n v="450"/>
    <x v="1"/>
    <x v="0"/>
    <x v="341"/>
    <x v="0"/>
  </r>
  <r>
    <d v="2025-02-17T00:00:00"/>
    <x v="10"/>
    <x v="4"/>
    <x v="0"/>
    <x v="0"/>
    <x v="0"/>
    <x v="19"/>
    <n v="3"/>
    <n v="60"/>
    <n v="200"/>
    <n v="5"/>
    <n v="570"/>
    <n v="390"/>
    <x v="0"/>
    <x v="0"/>
    <x v="239"/>
    <x v="3"/>
  </r>
  <r>
    <d v="2025-01-06T00:00:00"/>
    <x v="3"/>
    <x v="4"/>
    <x v="4"/>
    <x v="3"/>
    <x v="3"/>
    <x v="8"/>
    <n v="10"/>
    <n v="80"/>
    <n v="150"/>
    <n v="5"/>
    <n v="1425"/>
    <n v="625"/>
    <x v="0"/>
    <x v="0"/>
    <x v="207"/>
    <x v="1"/>
  </r>
  <r>
    <d v="2025-02-02T00:00:00"/>
    <x v="10"/>
    <x v="2"/>
    <x v="3"/>
    <x v="5"/>
    <x v="3"/>
    <x v="3"/>
    <n v="2"/>
    <n v="40"/>
    <n v="200"/>
    <n v="5"/>
    <n v="380"/>
    <n v="300"/>
    <x v="2"/>
    <x v="0"/>
    <x v="76"/>
    <x v="3"/>
  </r>
  <r>
    <d v="2025-03-23T00:00:00"/>
    <x v="5"/>
    <x v="2"/>
    <x v="4"/>
    <x v="1"/>
    <x v="4"/>
    <x v="15"/>
    <n v="2"/>
    <n v="90"/>
    <n v="100"/>
    <n v="0"/>
    <n v="200"/>
    <n v="20"/>
    <x v="2"/>
    <x v="1"/>
    <x v="277"/>
    <x v="4"/>
  </r>
  <r>
    <d v="2025-07-03T00:00:00"/>
    <x v="11"/>
    <x v="6"/>
    <x v="4"/>
    <x v="4"/>
    <x v="0"/>
    <x v="0"/>
    <n v="5"/>
    <n v="60"/>
    <n v="200"/>
    <n v="0"/>
    <n v="1000"/>
    <n v="700"/>
    <x v="1"/>
    <x v="1"/>
    <x v="42"/>
    <x v="1"/>
  </r>
  <r>
    <d v="2025-01-21T00:00:00"/>
    <x v="3"/>
    <x v="5"/>
    <x v="1"/>
    <x v="0"/>
    <x v="2"/>
    <x v="2"/>
    <n v="2"/>
    <n v="112.5"/>
    <n v="250"/>
    <n v="10"/>
    <n v="450"/>
    <n v="225"/>
    <x v="2"/>
    <x v="0"/>
    <x v="342"/>
    <x v="4"/>
  </r>
  <r>
    <d v="2025-02-23T00:00:00"/>
    <x v="10"/>
    <x v="2"/>
    <x v="3"/>
    <x v="1"/>
    <x v="2"/>
    <x v="2"/>
    <n v="2"/>
    <n v="67.5"/>
    <n v="150"/>
    <n v="0"/>
    <n v="300"/>
    <n v="165"/>
    <x v="0"/>
    <x v="1"/>
    <x v="343"/>
    <x v="1"/>
  </r>
  <r>
    <d v="2025-08-02T00:00:00"/>
    <x v="6"/>
    <x v="3"/>
    <x v="4"/>
    <x v="2"/>
    <x v="0"/>
    <x v="22"/>
    <n v="2"/>
    <n v="45"/>
    <n v="150"/>
    <n v="0"/>
    <n v="300"/>
    <n v="210"/>
    <x v="1"/>
    <x v="1"/>
    <x v="192"/>
    <x v="1"/>
  </r>
  <r>
    <d v="2025-09-05T00:00:00"/>
    <x v="0"/>
    <x v="0"/>
    <x v="1"/>
    <x v="5"/>
    <x v="1"/>
    <x v="14"/>
    <n v="2"/>
    <n v="20"/>
    <n v="100"/>
    <n v="5"/>
    <n v="190"/>
    <n v="150"/>
    <x v="2"/>
    <x v="0"/>
    <x v="69"/>
    <x v="1"/>
  </r>
  <r>
    <d v="2025-09-17T00:00:00"/>
    <x v="0"/>
    <x v="1"/>
    <x v="0"/>
    <x v="1"/>
    <x v="0"/>
    <x v="10"/>
    <n v="10"/>
    <n v="60"/>
    <n v="200"/>
    <n v="20"/>
    <n v="1600"/>
    <n v="1000"/>
    <x v="0"/>
    <x v="0"/>
    <x v="344"/>
    <x v="5"/>
  </r>
  <r>
    <d v="2025-07-14T00:00:00"/>
    <x v="11"/>
    <x v="4"/>
    <x v="3"/>
    <x v="6"/>
    <x v="3"/>
    <x v="17"/>
    <n v="1"/>
    <n v="100"/>
    <n v="150"/>
    <n v="0"/>
    <n v="150"/>
    <n v="50"/>
    <x v="1"/>
    <x v="1"/>
    <x v="345"/>
    <x v="1"/>
  </r>
  <r>
    <d v="2025-09-03T00:00:00"/>
    <x v="0"/>
    <x v="1"/>
    <x v="1"/>
    <x v="4"/>
    <x v="2"/>
    <x v="5"/>
    <n v="3"/>
    <n v="112.5"/>
    <n v="250"/>
    <n v="0"/>
    <n v="750"/>
    <n v="412.5"/>
    <x v="1"/>
    <x v="1"/>
    <x v="346"/>
    <x v="3"/>
  </r>
  <r>
    <d v="2025-03-16T00:00:00"/>
    <x v="5"/>
    <x v="2"/>
    <x v="4"/>
    <x v="4"/>
    <x v="3"/>
    <x v="6"/>
    <n v="5"/>
    <n v="100"/>
    <n v="150"/>
    <n v="15"/>
    <n v="637.5"/>
    <n v="137.5"/>
    <x v="1"/>
    <x v="0"/>
    <x v="347"/>
    <x v="4"/>
  </r>
  <r>
    <d v="2025-06-12T00:00:00"/>
    <x v="7"/>
    <x v="6"/>
    <x v="3"/>
    <x v="0"/>
    <x v="0"/>
    <x v="10"/>
    <n v="5"/>
    <n v="75"/>
    <n v="250"/>
    <n v="15"/>
    <n v="1062.5"/>
    <n v="687.5"/>
    <x v="1"/>
    <x v="0"/>
    <x v="248"/>
    <x v="4"/>
  </r>
  <r>
    <d v="2025-06-21T00:00:00"/>
    <x v="7"/>
    <x v="3"/>
    <x v="3"/>
    <x v="1"/>
    <x v="1"/>
    <x v="9"/>
    <n v="10"/>
    <n v="50"/>
    <n v="250"/>
    <n v="20"/>
    <n v="2000"/>
    <n v="1500"/>
    <x v="0"/>
    <x v="0"/>
    <x v="348"/>
    <x v="2"/>
  </r>
  <r>
    <d v="2025-02-25T00:00:00"/>
    <x v="10"/>
    <x v="5"/>
    <x v="2"/>
    <x v="3"/>
    <x v="4"/>
    <x v="15"/>
    <n v="2"/>
    <n v="112.5"/>
    <n v="100"/>
    <n v="10"/>
    <n v="180"/>
    <n v="-45"/>
    <x v="2"/>
    <x v="0"/>
    <x v="349"/>
    <x v="4"/>
  </r>
  <r>
    <d v="2025-01-18T00:00:00"/>
    <x v="3"/>
    <x v="3"/>
    <x v="4"/>
    <x v="1"/>
    <x v="0"/>
    <x v="0"/>
    <n v="3"/>
    <n v="75"/>
    <n v="250"/>
    <n v="5"/>
    <n v="712.5"/>
    <n v="487.5"/>
    <x v="1"/>
    <x v="0"/>
    <x v="185"/>
    <x v="3"/>
  </r>
  <r>
    <d v="2025-04-20T00:00:00"/>
    <x v="2"/>
    <x v="2"/>
    <x v="4"/>
    <x v="6"/>
    <x v="2"/>
    <x v="5"/>
    <n v="2"/>
    <n v="45"/>
    <n v="100"/>
    <n v="0"/>
    <n v="200"/>
    <n v="110"/>
    <x v="2"/>
    <x v="1"/>
    <x v="350"/>
    <x v="1"/>
  </r>
  <r>
    <d v="2025-04-07T00:00:00"/>
    <x v="2"/>
    <x v="4"/>
    <x v="0"/>
    <x v="5"/>
    <x v="3"/>
    <x v="17"/>
    <n v="5"/>
    <n v="100"/>
    <n v="250"/>
    <n v="20"/>
    <n v="1000"/>
    <n v="500"/>
    <x v="0"/>
    <x v="0"/>
    <x v="201"/>
    <x v="5"/>
  </r>
  <r>
    <d v="2025-07-04T00:00:00"/>
    <x v="11"/>
    <x v="0"/>
    <x v="3"/>
    <x v="4"/>
    <x v="4"/>
    <x v="4"/>
    <n v="2"/>
    <n v="45"/>
    <n v="250"/>
    <n v="5"/>
    <n v="475"/>
    <n v="385"/>
    <x v="1"/>
    <x v="0"/>
    <x v="351"/>
    <x v="5"/>
  </r>
  <r>
    <d v="2025-07-26T00:00:00"/>
    <x v="11"/>
    <x v="3"/>
    <x v="4"/>
    <x v="6"/>
    <x v="1"/>
    <x v="1"/>
    <n v="2"/>
    <n v="20"/>
    <n v="100"/>
    <n v="15"/>
    <n v="170"/>
    <n v="130"/>
    <x v="0"/>
    <x v="0"/>
    <x v="352"/>
    <x v="5"/>
  </r>
  <r>
    <d v="2025-04-27T00:00:00"/>
    <x v="2"/>
    <x v="2"/>
    <x v="4"/>
    <x v="3"/>
    <x v="4"/>
    <x v="18"/>
    <n v="10"/>
    <n v="22.5"/>
    <n v="200"/>
    <n v="15"/>
    <n v="1700"/>
    <n v="1475"/>
    <x v="0"/>
    <x v="0"/>
    <x v="353"/>
    <x v="5"/>
  </r>
  <r>
    <d v="2025-09-03T00:00:00"/>
    <x v="0"/>
    <x v="1"/>
    <x v="2"/>
    <x v="6"/>
    <x v="2"/>
    <x v="13"/>
    <n v="2"/>
    <n v="22.5"/>
    <n v="50"/>
    <n v="5"/>
    <n v="95"/>
    <n v="50"/>
    <x v="2"/>
    <x v="0"/>
    <x v="272"/>
    <x v="3"/>
  </r>
  <r>
    <d v="2025-01-01T00:00:00"/>
    <x v="3"/>
    <x v="1"/>
    <x v="2"/>
    <x v="4"/>
    <x v="0"/>
    <x v="19"/>
    <n v="3"/>
    <n v="60"/>
    <n v="200"/>
    <n v="0"/>
    <n v="600"/>
    <n v="420"/>
    <x v="1"/>
    <x v="1"/>
    <x v="354"/>
    <x v="3"/>
  </r>
  <r>
    <d v="2025-01-10T00:00:00"/>
    <x v="3"/>
    <x v="0"/>
    <x v="1"/>
    <x v="3"/>
    <x v="2"/>
    <x v="16"/>
    <n v="2"/>
    <n v="22.5"/>
    <n v="50"/>
    <n v="0"/>
    <n v="100"/>
    <n v="55"/>
    <x v="0"/>
    <x v="1"/>
    <x v="355"/>
    <x v="0"/>
  </r>
  <r>
    <d v="2025-11-07T00:00:00"/>
    <x v="1"/>
    <x v="0"/>
    <x v="1"/>
    <x v="5"/>
    <x v="1"/>
    <x v="12"/>
    <n v="2"/>
    <n v="40"/>
    <n v="200"/>
    <n v="10"/>
    <n v="360"/>
    <n v="280"/>
    <x v="1"/>
    <x v="0"/>
    <x v="356"/>
    <x v="0"/>
  </r>
  <r>
    <d v="2025-01-16T00:00:00"/>
    <x v="3"/>
    <x v="6"/>
    <x v="2"/>
    <x v="5"/>
    <x v="2"/>
    <x v="13"/>
    <n v="2"/>
    <n v="22.5"/>
    <n v="50"/>
    <n v="0"/>
    <n v="100"/>
    <n v="55"/>
    <x v="0"/>
    <x v="1"/>
    <x v="296"/>
    <x v="0"/>
  </r>
  <r>
    <d v="2025-12-22T00:00:00"/>
    <x v="8"/>
    <x v="4"/>
    <x v="0"/>
    <x v="5"/>
    <x v="0"/>
    <x v="21"/>
    <n v="2"/>
    <n v="15"/>
    <n v="50"/>
    <n v="0"/>
    <n v="100"/>
    <n v="70"/>
    <x v="2"/>
    <x v="1"/>
    <x v="357"/>
    <x v="0"/>
  </r>
  <r>
    <d v="2025-02-01T00:00:00"/>
    <x v="10"/>
    <x v="3"/>
    <x v="2"/>
    <x v="1"/>
    <x v="4"/>
    <x v="15"/>
    <n v="2"/>
    <n v="90"/>
    <n v="200"/>
    <n v="0"/>
    <n v="400"/>
    <n v="220"/>
    <x v="2"/>
    <x v="1"/>
    <x v="358"/>
    <x v="0"/>
  </r>
  <r>
    <d v="2025-05-08T00:00:00"/>
    <x v="4"/>
    <x v="6"/>
    <x v="0"/>
    <x v="6"/>
    <x v="3"/>
    <x v="3"/>
    <n v="5"/>
    <n v="60"/>
    <n v="200"/>
    <n v="0"/>
    <n v="1000"/>
    <n v="700"/>
    <x v="1"/>
    <x v="1"/>
    <x v="359"/>
    <x v="2"/>
  </r>
  <r>
    <d v="2025-04-17T00:00:00"/>
    <x v="2"/>
    <x v="6"/>
    <x v="0"/>
    <x v="1"/>
    <x v="2"/>
    <x v="16"/>
    <n v="1"/>
    <n v="67.5"/>
    <n v="150"/>
    <n v="10"/>
    <n v="135"/>
    <n v="67.5"/>
    <x v="1"/>
    <x v="0"/>
    <x v="5"/>
    <x v="4"/>
  </r>
  <r>
    <d v="2025-01-14T00:00:00"/>
    <x v="3"/>
    <x v="5"/>
    <x v="2"/>
    <x v="6"/>
    <x v="2"/>
    <x v="5"/>
    <n v="1"/>
    <n v="67.5"/>
    <n v="150"/>
    <n v="15"/>
    <n v="127.5"/>
    <n v="60"/>
    <x v="2"/>
    <x v="0"/>
    <x v="360"/>
    <x v="0"/>
  </r>
  <r>
    <d v="2025-01-14T00:00:00"/>
    <x v="3"/>
    <x v="5"/>
    <x v="1"/>
    <x v="0"/>
    <x v="4"/>
    <x v="18"/>
    <n v="10"/>
    <n v="112.5"/>
    <n v="50"/>
    <n v="20"/>
    <n v="400"/>
    <n v="-725"/>
    <x v="2"/>
    <x v="0"/>
    <x v="178"/>
    <x v="0"/>
  </r>
  <r>
    <d v="2025-10-17T00:00:00"/>
    <x v="9"/>
    <x v="0"/>
    <x v="4"/>
    <x v="1"/>
    <x v="4"/>
    <x v="7"/>
    <n v="5"/>
    <n v="90"/>
    <n v="250"/>
    <n v="15"/>
    <n v="1062.5"/>
    <n v="612.5"/>
    <x v="2"/>
    <x v="0"/>
    <x v="247"/>
    <x v="0"/>
  </r>
  <r>
    <d v="2025-10-13T00:00:00"/>
    <x v="9"/>
    <x v="4"/>
    <x v="0"/>
    <x v="4"/>
    <x v="1"/>
    <x v="1"/>
    <n v="5"/>
    <n v="40"/>
    <n v="200"/>
    <n v="5"/>
    <n v="950"/>
    <n v="750"/>
    <x v="0"/>
    <x v="0"/>
    <x v="219"/>
    <x v="2"/>
  </r>
  <r>
    <d v="2025-08-18T00:00:00"/>
    <x v="6"/>
    <x v="4"/>
    <x v="0"/>
    <x v="6"/>
    <x v="2"/>
    <x v="2"/>
    <n v="2"/>
    <n v="112.5"/>
    <n v="250"/>
    <n v="15"/>
    <n v="425"/>
    <n v="200"/>
    <x v="2"/>
    <x v="0"/>
    <x v="361"/>
    <x v="5"/>
  </r>
  <r>
    <d v="2025-01-04T00:00:00"/>
    <x v="3"/>
    <x v="3"/>
    <x v="2"/>
    <x v="5"/>
    <x v="1"/>
    <x v="1"/>
    <n v="5"/>
    <n v="20"/>
    <n v="100"/>
    <n v="15"/>
    <n v="425"/>
    <n v="325"/>
    <x v="0"/>
    <x v="0"/>
    <x v="362"/>
    <x v="0"/>
  </r>
  <r>
    <d v="2025-08-08T00:00:00"/>
    <x v="6"/>
    <x v="0"/>
    <x v="2"/>
    <x v="6"/>
    <x v="3"/>
    <x v="17"/>
    <n v="5"/>
    <n v="60"/>
    <n v="150"/>
    <n v="0"/>
    <n v="750"/>
    <n v="450"/>
    <x v="2"/>
    <x v="1"/>
    <x v="363"/>
    <x v="4"/>
  </r>
  <r>
    <d v="2025-06-12T00:00:00"/>
    <x v="7"/>
    <x v="6"/>
    <x v="0"/>
    <x v="0"/>
    <x v="2"/>
    <x v="16"/>
    <n v="2"/>
    <n v="67.5"/>
    <n v="150"/>
    <n v="0"/>
    <n v="300"/>
    <n v="165"/>
    <x v="0"/>
    <x v="1"/>
    <x v="364"/>
    <x v="1"/>
  </r>
  <r>
    <d v="2025-04-22T00:00:00"/>
    <x v="2"/>
    <x v="5"/>
    <x v="3"/>
    <x v="5"/>
    <x v="2"/>
    <x v="2"/>
    <n v="3"/>
    <n v="112.5"/>
    <n v="250"/>
    <n v="20"/>
    <n v="600"/>
    <n v="262.5"/>
    <x v="2"/>
    <x v="0"/>
    <x v="327"/>
    <x v="0"/>
  </r>
  <r>
    <d v="2025-01-02T00:00:00"/>
    <x v="3"/>
    <x v="6"/>
    <x v="4"/>
    <x v="3"/>
    <x v="2"/>
    <x v="16"/>
    <n v="10"/>
    <n v="67.5"/>
    <n v="150"/>
    <n v="5"/>
    <n v="1425"/>
    <n v="750"/>
    <x v="2"/>
    <x v="0"/>
    <x v="205"/>
    <x v="2"/>
  </r>
  <r>
    <d v="2025-10-03T00:00:00"/>
    <x v="9"/>
    <x v="0"/>
    <x v="4"/>
    <x v="0"/>
    <x v="3"/>
    <x v="17"/>
    <n v="3"/>
    <n v="80"/>
    <n v="100"/>
    <n v="15"/>
    <n v="255"/>
    <n v="15"/>
    <x v="0"/>
    <x v="0"/>
    <x v="365"/>
    <x v="0"/>
  </r>
  <r>
    <d v="2025-05-24T00:00:00"/>
    <x v="4"/>
    <x v="3"/>
    <x v="4"/>
    <x v="5"/>
    <x v="2"/>
    <x v="16"/>
    <n v="5"/>
    <n v="90"/>
    <n v="200"/>
    <n v="5"/>
    <n v="950"/>
    <n v="500"/>
    <x v="1"/>
    <x v="0"/>
    <x v="366"/>
    <x v="2"/>
  </r>
  <r>
    <d v="2025-03-18T00:00:00"/>
    <x v="5"/>
    <x v="5"/>
    <x v="1"/>
    <x v="1"/>
    <x v="1"/>
    <x v="12"/>
    <n v="10"/>
    <n v="30"/>
    <n v="150"/>
    <n v="5"/>
    <n v="1425"/>
    <n v="1125"/>
    <x v="2"/>
    <x v="0"/>
    <x v="367"/>
    <x v="4"/>
  </r>
  <r>
    <d v="2025-03-25T00:00:00"/>
    <x v="5"/>
    <x v="5"/>
    <x v="3"/>
    <x v="0"/>
    <x v="1"/>
    <x v="12"/>
    <n v="5"/>
    <n v="30"/>
    <n v="150"/>
    <n v="10"/>
    <n v="675"/>
    <n v="525"/>
    <x v="2"/>
    <x v="0"/>
    <x v="202"/>
    <x v="1"/>
  </r>
  <r>
    <d v="2025-03-18T00:00:00"/>
    <x v="5"/>
    <x v="5"/>
    <x v="2"/>
    <x v="5"/>
    <x v="2"/>
    <x v="5"/>
    <n v="5"/>
    <n v="67.5"/>
    <n v="150"/>
    <n v="5"/>
    <n v="712.5"/>
    <n v="375"/>
    <x v="0"/>
    <x v="0"/>
    <x v="368"/>
    <x v="0"/>
  </r>
  <r>
    <d v="2025-05-25T00:00:00"/>
    <x v="4"/>
    <x v="2"/>
    <x v="2"/>
    <x v="2"/>
    <x v="3"/>
    <x v="3"/>
    <n v="3"/>
    <n v="60"/>
    <n v="50"/>
    <n v="0"/>
    <n v="150"/>
    <n v="-30"/>
    <x v="1"/>
    <x v="1"/>
    <x v="369"/>
    <x v="4"/>
  </r>
  <r>
    <d v="2025-12-19T00:00:00"/>
    <x v="8"/>
    <x v="0"/>
    <x v="3"/>
    <x v="4"/>
    <x v="4"/>
    <x v="15"/>
    <n v="3"/>
    <n v="45"/>
    <n v="150"/>
    <n v="0"/>
    <n v="450"/>
    <n v="315"/>
    <x v="1"/>
    <x v="1"/>
    <x v="306"/>
    <x v="0"/>
  </r>
  <r>
    <d v="2025-03-20T00:00:00"/>
    <x v="5"/>
    <x v="6"/>
    <x v="3"/>
    <x v="6"/>
    <x v="0"/>
    <x v="22"/>
    <n v="1"/>
    <n v="30"/>
    <n v="100"/>
    <n v="10"/>
    <n v="90"/>
    <n v="60"/>
    <x v="0"/>
    <x v="0"/>
    <x v="370"/>
    <x v="4"/>
  </r>
  <r>
    <d v="2025-10-18T00:00:00"/>
    <x v="9"/>
    <x v="3"/>
    <x v="4"/>
    <x v="3"/>
    <x v="3"/>
    <x v="8"/>
    <n v="2"/>
    <n v="100"/>
    <n v="250"/>
    <n v="5"/>
    <n v="475"/>
    <n v="275"/>
    <x v="2"/>
    <x v="0"/>
    <x v="371"/>
    <x v="1"/>
  </r>
  <r>
    <d v="2025-10-02T00:00:00"/>
    <x v="9"/>
    <x v="6"/>
    <x v="2"/>
    <x v="3"/>
    <x v="0"/>
    <x v="21"/>
    <n v="3"/>
    <n v="75"/>
    <n v="250"/>
    <n v="5"/>
    <n v="712.5"/>
    <n v="487.5"/>
    <x v="2"/>
    <x v="0"/>
    <x v="251"/>
    <x v="0"/>
  </r>
  <r>
    <d v="2025-02-14T00:00:00"/>
    <x v="10"/>
    <x v="0"/>
    <x v="4"/>
    <x v="3"/>
    <x v="1"/>
    <x v="14"/>
    <n v="10"/>
    <n v="40"/>
    <n v="200"/>
    <n v="5"/>
    <n v="1900"/>
    <n v="1500"/>
    <x v="0"/>
    <x v="0"/>
    <x v="372"/>
    <x v="2"/>
  </r>
  <r>
    <d v="2025-01-12T00:00:00"/>
    <x v="3"/>
    <x v="2"/>
    <x v="3"/>
    <x v="2"/>
    <x v="1"/>
    <x v="1"/>
    <n v="5"/>
    <n v="50"/>
    <n v="250"/>
    <n v="20"/>
    <n v="1000"/>
    <n v="750"/>
    <x v="1"/>
    <x v="0"/>
    <x v="330"/>
    <x v="0"/>
  </r>
  <r>
    <d v="2025-09-22T00:00:00"/>
    <x v="0"/>
    <x v="4"/>
    <x v="2"/>
    <x v="5"/>
    <x v="1"/>
    <x v="12"/>
    <n v="2"/>
    <n v="50"/>
    <n v="250"/>
    <n v="20"/>
    <n v="400"/>
    <n v="300"/>
    <x v="0"/>
    <x v="0"/>
    <x v="373"/>
    <x v="3"/>
  </r>
  <r>
    <d v="2025-08-06T00:00:00"/>
    <x v="6"/>
    <x v="1"/>
    <x v="3"/>
    <x v="1"/>
    <x v="2"/>
    <x v="5"/>
    <n v="5"/>
    <n v="112.5"/>
    <n v="250"/>
    <n v="15"/>
    <n v="1062.5"/>
    <n v="500"/>
    <x v="1"/>
    <x v="0"/>
    <x v="335"/>
    <x v="3"/>
  </r>
  <r>
    <d v="2025-03-24T00:00:00"/>
    <x v="5"/>
    <x v="4"/>
    <x v="4"/>
    <x v="4"/>
    <x v="4"/>
    <x v="15"/>
    <n v="2"/>
    <n v="112.5"/>
    <n v="200"/>
    <n v="15"/>
    <n v="340"/>
    <n v="115"/>
    <x v="2"/>
    <x v="0"/>
    <x v="374"/>
    <x v="0"/>
  </r>
  <r>
    <d v="2025-02-10T00:00:00"/>
    <x v="10"/>
    <x v="4"/>
    <x v="1"/>
    <x v="0"/>
    <x v="1"/>
    <x v="20"/>
    <n v="1"/>
    <n v="50"/>
    <n v="250"/>
    <n v="15"/>
    <n v="212.5"/>
    <n v="162.5"/>
    <x v="1"/>
    <x v="0"/>
    <x v="108"/>
    <x v="4"/>
  </r>
  <r>
    <d v="2025-08-03T00:00:00"/>
    <x v="6"/>
    <x v="2"/>
    <x v="2"/>
    <x v="6"/>
    <x v="4"/>
    <x v="18"/>
    <n v="3"/>
    <n v="67.5"/>
    <n v="200"/>
    <n v="0"/>
    <n v="600"/>
    <n v="397.5"/>
    <x v="2"/>
    <x v="1"/>
    <x v="174"/>
    <x v="1"/>
  </r>
  <r>
    <d v="2025-10-26T00:00:00"/>
    <x v="9"/>
    <x v="2"/>
    <x v="4"/>
    <x v="4"/>
    <x v="3"/>
    <x v="17"/>
    <n v="3"/>
    <n v="20"/>
    <n v="150"/>
    <n v="0"/>
    <n v="450"/>
    <n v="390"/>
    <x v="1"/>
    <x v="1"/>
    <x v="206"/>
    <x v="3"/>
  </r>
  <r>
    <d v="2025-12-19T00:00:00"/>
    <x v="8"/>
    <x v="0"/>
    <x v="0"/>
    <x v="6"/>
    <x v="3"/>
    <x v="17"/>
    <n v="2"/>
    <n v="20"/>
    <n v="50"/>
    <n v="5"/>
    <n v="95"/>
    <n v="55"/>
    <x v="1"/>
    <x v="0"/>
    <x v="375"/>
    <x v="5"/>
  </r>
  <r>
    <d v="2025-06-12T00:00:00"/>
    <x v="7"/>
    <x v="6"/>
    <x v="4"/>
    <x v="1"/>
    <x v="2"/>
    <x v="5"/>
    <n v="2"/>
    <n v="22.5"/>
    <n v="50"/>
    <n v="20"/>
    <n v="80"/>
    <n v="35"/>
    <x v="0"/>
    <x v="0"/>
    <x v="376"/>
    <x v="1"/>
  </r>
  <r>
    <d v="2025-06-04T00:00:00"/>
    <x v="7"/>
    <x v="1"/>
    <x v="4"/>
    <x v="1"/>
    <x v="3"/>
    <x v="6"/>
    <n v="1"/>
    <n v="40"/>
    <n v="150"/>
    <n v="0"/>
    <n v="150"/>
    <n v="110"/>
    <x v="1"/>
    <x v="1"/>
    <x v="377"/>
    <x v="2"/>
  </r>
  <r>
    <d v="2025-10-13T00:00:00"/>
    <x v="9"/>
    <x v="4"/>
    <x v="3"/>
    <x v="5"/>
    <x v="4"/>
    <x v="18"/>
    <n v="3"/>
    <n v="90"/>
    <n v="100"/>
    <n v="20"/>
    <n v="240"/>
    <n v="-30"/>
    <x v="0"/>
    <x v="0"/>
    <x v="378"/>
    <x v="4"/>
  </r>
  <r>
    <d v="2025-05-27T00:00:00"/>
    <x v="4"/>
    <x v="5"/>
    <x v="1"/>
    <x v="3"/>
    <x v="4"/>
    <x v="15"/>
    <n v="5"/>
    <n v="45"/>
    <n v="200"/>
    <n v="10"/>
    <n v="900"/>
    <n v="675"/>
    <x v="2"/>
    <x v="0"/>
    <x v="379"/>
    <x v="3"/>
  </r>
  <r>
    <d v="2025-09-20T00:00:00"/>
    <x v="0"/>
    <x v="3"/>
    <x v="2"/>
    <x v="1"/>
    <x v="0"/>
    <x v="0"/>
    <n v="1"/>
    <n v="30"/>
    <n v="100"/>
    <n v="15"/>
    <n v="85"/>
    <n v="55"/>
    <x v="1"/>
    <x v="0"/>
    <x v="380"/>
    <x v="4"/>
  </r>
  <r>
    <d v="2025-05-09T00:00:00"/>
    <x v="4"/>
    <x v="0"/>
    <x v="0"/>
    <x v="6"/>
    <x v="3"/>
    <x v="3"/>
    <n v="5"/>
    <n v="60"/>
    <n v="150"/>
    <n v="0"/>
    <n v="750"/>
    <n v="450"/>
    <x v="2"/>
    <x v="1"/>
    <x v="381"/>
    <x v="5"/>
  </r>
  <r>
    <d v="2025-03-24T00:00:00"/>
    <x v="5"/>
    <x v="4"/>
    <x v="3"/>
    <x v="6"/>
    <x v="2"/>
    <x v="16"/>
    <n v="5"/>
    <n v="67.5"/>
    <n v="150"/>
    <n v="0"/>
    <n v="750"/>
    <n v="412.5"/>
    <x v="0"/>
    <x v="1"/>
    <x v="382"/>
    <x v="3"/>
  </r>
  <r>
    <d v="2025-02-26T00:00:00"/>
    <x v="10"/>
    <x v="1"/>
    <x v="1"/>
    <x v="5"/>
    <x v="2"/>
    <x v="2"/>
    <n v="2"/>
    <n v="45"/>
    <n v="100"/>
    <n v="0"/>
    <n v="200"/>
    <n v="110"/>
    <x v="1"/>
    <x v="1"/>
    <x v="383"/>
    <x v="4"/>
  </r>
  <r>
    <d v="2025-02-10T00:00:00"/>
    <x v="10"/>
    <x v="4"/>
    <x v="1"/>
    <x v="0"/>
    <x v="1"/>
    <x v="20"/>
    <n v="5"/>
    <n v="50"/>
    <n v="250"/>
    <n v="0"/>
    <n v="1250"/>
    <n v="1000"/>
    <x v="0"/>
    <x v="1"/>
    <x v="384"/>
    <x v="2"/>
  </r>
  <r>
    <d v="2025-05-23T00:00:00"/>
    <x v="4"/>
    <x v="0"/>
    <x v="3"/>
    <x v="5"/>
    <x v="1"/>
    <x v="14"/>
    <n v="1"/>
    <n v="10"/>
    <n v="50"/>
    <n v="10"/>
    <n v="45"/>
    <n v="35"/>
    <x v="2"/>
    <x v="0"/>
    <x v="385"/>
    <x v="0"/>
  </r>
  <r>
    <d v="2025-11-26T00:00:00"/>
    <x v="1"/>
    <x v="1"/>
    <x v="0"/>
    <x v="1"/>
    <x v="1"/>
    <x v="1"/>
    <n v="3"/>
    <n v="40"/>
    <n v="200"/>
    <n v="15"/>
    <n v="510"/>
    <n v="390"/>
    <x v="1"/>
    <x v="0"/>
    <x v="22"/>
    <x v="0"/>
  </r>
  <r>
    <d v="2025-06-01T00:00:00"/>
    <x v="7"/>
    <x v="2"/>
    <x v="2"/>
    <x v="5"/>
    <x v="1"/>
    <x v="9"/>
    <n v="10"/>
    <n v="10"/>
    <n v="50"/>
    <n v="20"/>
    <n v="400"/>
    <n v="300"/>
    <x v="1"/>
    <x v="0"/>
    <x v="382"/>
    <x v="0"/>
  </r>
  <r>
    <d v="2025-04-04T00:00:00"/>
    <x v="2"/>
    <x v="0"/>
    <x v="2"/>
    <x v="5"/>
    <x v="3"/>
    <x v="6"/>
    <n v="3"/>
    <n v="80"/>
    <n v="200"/>
    <n v="0"/>
    <n v="600"/>
    <n v="360"/>
    <x v="2"/>
    <x v="1"/>
    <x v="386"/>
    <x v="3"/>
  </r>
  <r>
    <d v="2025-09-24T00:00:00"/>
    <x v="0"/>
    <x v="1"/>
    <x v="4"/>
    <x v="2"/>
    <x v="2"/>
    <x v="16"/>
    <n v="1"/>
    <n v="90"/>
    <n v="200"/>
    <n v="10"/>
    <n v="180"/>
    <n v="90"/>
    <x v="0"/>
    <x v="0"/>
    <x v="336"/>
    <x v="0"/>
  </r>
  <r>
    <d v="2025-07-17T00:00:00"/>
    <x v="11"/>
    <x v="6"/>
    <x v="2"/>
    <x v="4"/>
    <x v="4"/>
    <x v="15"/>
    <n v="1"/>
    <n v="90"/>
    <n v="150"/>
    <n v="0"/>
    <n v="150"/>
    <n v="60"/>
    <x v="2"/>
    <x v="1"/>
    <x v="387"/>
    <x v="1"/>
  </r>
  <r>
    <d v="2025-02-08T00:00:00"/>
    <x v="10"/>
    <x v="3"/>
    <x v="1"/>
    <x v="1"/>
    <x v="1"/>
    <x v="9"/>
    <n v="1"/>
    <n v="40"/>
    <n v="200"/>
    <n v="15"/>
    <n v="170"/>
    <n v="130"/>
    <x v="1"/>
    <x v="0"/>
    <x v="223"/>
    <x v="3"/>
  </r>
  <r>
    <d v="2025-03-01T00:00:00"/>
    <x v="5"/>
    <x v="3"/>
    <x v="0"/>
    <x v="1"/>
    <x v="0"/>
    <x v="10"/>
    <n v="1"/>
    <n v="30"/>
    <n v="100"/>
    <n v="20"/>
    <n v="80"/>
    <n v="50"/>
    <x v="0"/>
    <x v="0"/>
    <x v="388"/>
    <x v="1"/>
  </r>
  <r>
    <d v="2025-05-24T00:00:00"/>
    <x v="4"/>
    <x v="3"/>
    <x v="4"/>
    <x v="5"/>
    <x v="2"/>
    <x v="16"/>
    <n v="5"/>
    <n v="90"/>
    <n v="200"/>
    <n v="5"/>
    <n v="950"/>
    <n v="500"/>
    <x v="1"/>
    <x v="0"/>
    <x v="366"/>
    <x v="2"/>
  </r>
  <r>
    <d v="2025-09-02T00:00:00"/>
    <x v="0"/>
    <x v="5"/>
    <x v="4"/>
    <x v="3"/>
    <x v="2"/>
    <x v="2"/>
    <n v="2"/>
    <n v="22.5"/>
    <n v="50"/>
    <n v="10"/>
    <n v="90"/>
    <n v="45"/>
    <x v="2"/>
    <x v="0"/>
    <x v="389"/>
    <x v="1"/>
  </r>
  <r>
    <d v="2025-10-22T00:00:00"/>
    <x v="9"/>
    <x v="1"/>
    <x v="0"/>
    <x v="5"/>
    <x v="0"/>
    <x v="0"/>
    <n v="2"/>
    <n v="15"/>
    <n v="50"/>
    <n v="15"/>
    <n v="85"/>
    <n v="55"/>
    <x v="0"/>
    <x v="0"/>
    <x v="238"/>
    <x v="1"/>
  </r>
  <r>
    <d v="2025-03-17T00:00:00"/>
    <x v="5"/>
    <x v="4"/>
    <x v="4"/>
    <x v="5"/>
    <x v="3"/>
    <x v="6"/>
    <n v="3"/>
    <n v="60"/>
    <n v="200"/>
    <n v="20"/>
    <n v="480"/>
    <n v="300"/>
    <x v="1"/>
    <x v="0"/>
    <x v="390"/>
    <x v="0"/>
  </r>
  <r>
    <d v="2025-01-07T00:00:00"/>
    <x v="3"/>
    <x v="5"/>
    <x v="2"/>
    <x v="0"/>
    <x v="4"/>
    <x v="4"/>
    <n v="1"/>
    <n v="22.5"/>
    <n v="150"/>
    <n v="20"/>
    <n v="120"/>
    <n v="97.5"/>
    <x v="0"/>
    <x v="0"/>
    <x v="286"/>
    <x v="4"/>
  </r>
  <r>
    <d v="2025-04-19T00:00:00"/>
    <x v="2"/>
    <x v="3"/>
    <x v="4"/>
    <x v="6"/>
    <x v="2"/>
    <x v="5"/>
    <n v="10"/>
    <n v="22.5"/>
    <n v="50"/>
    <n v="20"/>
    <n v="400"/>
    <n v="175"/>
    <x v="0"/>
    <x v="0"/>
    <x v="49"/>
    <x v="0"/>
  </r>
  <r>
    <d v="2025-04-21T00:00:00"/>
    <x v="2"/>
    <x v="4"/>
    <x v="3"/>
    <x v="5"/>
    <x v="3"/>
    <x v="6"/>
    <n v="2"/>
    <n v="60"/>
    <n v="150"/>
    <n v="20"/>
    <n v="240"/>
    <n v="120"/>
    <x v="2"/>
    <x v="0"/>
    <x v="391"/>
    <x v="4"/>
  </r>
  <r>
    <d v="2025-08-10T00:00:00"/>
    <x v="6"/>
    <x v="2"/>
    <x v="2"/>
    <x v="6"/>
    <x v="0"/>
    <x v="21"/>
    <n v="10"/>
    <n v="45"/>
    <n v="150"/>
    <n v="5"/>
    <n v="1425"/>
    <n v="975"/>
    <x v="1"/>
    <x v="0"/>
    <x v="302"/>
    <x v="2"/>
  </r>
  <r>
    <d v="2025-09-26T00:00:00"/>
    <x v="0"/>
    <x v="0"/>
    <x v="3"/>
    <x v="6"/>
    <x v="0"/>
    <x v="19"/>
    <n v="1"/>
    <n v="30"/>
    <n v="100"/>
    <n v="5"/>
    <n v="95"/>
    <n v="65"/>
    <x v="1"/>
    <x v="0"/>
    <x v="392"/>
    <x v="3"/>
  </r>
  <r>
    <d v="2025-11-16T00:00:00"/>
    <x v="1"/>
    <x v="2"/>
    <x v="3"/>
    <x v="6"/>
    <x v="2"/>
    <x v="5"/>
    <n v="5"/>
    <n v="67.5"/>
    <n v="150"/>
    <n v="0"/>
    <n v="750"/>
    <n v="412.5"/>
    <x v="1"/>
    <x v="1"/>
    <x v="238"/>
    <x v="3"/>
  </r>
  <r>
    <d v="2025-06-18T00:00:00"/>
    <x v="7"/>
    <x v="1"/>
    <x v="2"/>
    <x v="0"/>
    <x v="1"/>
    <x v="12"/>
    <n v="10"/>
    <n v="10"/>
    <n v="50"/>
    <n v="5"/>
    <n v="475"/>
    <n v="375"/>
    <x v="0"/>
    <x v="0"/>
    <x v="377"/>
    <x v="3"/>
  </r>
  <r>
    <d v="2025-01-25T00:00:00"/>
    <x v="3"/>
    <x v="3"/>
    <x v="2"/>
    <x v="2"/>
    <x v="3"/>
    <x v="17"/>
    <n v="5"/>
    <n v="60"/>
    <n v="100"/>
    <n v="15"/>
    <n v="425"/>
    <n v="125"/>
    <x v="1"/>
    <x v="0"/>
    <x v="393"/>
    <x v="4"/>
  </r>
  <r>
    <d v="2025-06-13T00:00:00"/>
    <x v="7"/>
    <x v="0"/>
    <x v="2"/>
    <x v="5"/>
    <x v="1"/>
    <x v="9"/>
    <n v="2"/>
    <n v="30"/>
    <n v="150"/>
    <n v="15"/>
    <n v="255"/>
    <n v="195"/>
    <x v="2"/>
    <x v="0"/>
    <x v="394"/>
    <x v="1"/>
  </r>
  <r>
    <d v="2025-06-26T00:00:00"/>
    <x v="7"/>
    <x v="6"/>
    <x v="0"/>
    <x v="4"/>
    <x v="3"/>
    <x v="6"/>
    <n v="1"/>
    <n v="80"/>
    <n v="200"/>
    <n v="5"/>
    <n v="190"/>
    <n v="110"/>
    <x v="2"/>
    <x v="0"/>
    <x v="395"/>
    <x v="3"/>
  </r>
  <r>
    <d v="2025-06-13T00:00:00"/>
    <x v="7"/>
    <x v="0"/>
    <x v="0"/>
    <x v="3"/>
    <x v="2"/>
    <x v="2"/>
    <n v="2"/>
    <n v="90"/>
    <n v="200"/>
    <n v="20"/>
    <n v="320"/>
    <n v="140"/>
    <x v="0"/>
    <x v="0"/>
    <x v="386"/>
    <x v="3"/>
  </r>
  <r>
    <d v="2025-10-28T00:00:00"/>
    <x v="9"/>
    <x v="5"/>
    <x v="1"/>
    <x v="2"/>
    <x v="0"/>
    <x v="21"/>
    <n v="2"/>
    <n v="30"/>
    <n v="100"/>
    <n v="5"/>
    <n v="190"/>
    <n v="130"/>
    <x v="0"/>
    <x v="0"/>
    <x v="396"/>
    <x v="5"/>
  </r>
  <r>
    <d v="2025-06-25T00:00:00"/>
    <x v="7"/>
    <x v="1"/>
    <x v="1"/>
    <x v="2"/>
    <x v="2"/>
    <x v="2"/>
    <n v="2"/>
    <n v="112.5"/>
    <n v="250"/>
    <n v="20"/>
    <n v="400"/>
    <n v="175"/>
    <x v="2"/>
    <x v="0"/>
    <x v="222"/>
    <x v="1"/>
  </r>
  <r>
    <d v="2025-12-20T00:00:00"/>
    <x v="8"/>
    <x v="3"/>
    <x v="3"/>
    <x v="0"/>
    <x v="1"/>
    <x v="9"/>
    <n v="2"/>
    <n v="50"/>
    <n v="250"/>
    <n v="0"/>
    <n v="500"/>
    <n v="400"/>
    <x v="1"/>
    <x v="1"/>
    <x v="397"/>
    <x v="1"/>
  </r>
  <r>
    <d v="2025-01-18T00:00:00"/>
    <x v="3"/>
    <x v="3"/>
    <x v="0"/>
    <x v="1"/>
    <x v="4"/>
    <x v="7"/>
    <n v="2"/>
    <n v="67.5"/>
    <n v="100"/>
    <n v="0"/>
    <n v="200"/>
    <n v="65"/>
    <x v="2"/>
    <x v="1"/>
    <x v="10"/>
    <x v="5"/>
  </r>
  <r>
    <d v="2025-06-11T00:00:00"/>
    <x v="7"/>
    <x v="1"/>
    <x v="3"/>
    <x v="4"/>
    <x v="0"/>
    <x v="10"/>
    <n v="2"/>
    <n v="45"/>
    <n v="150"/>
    <n v="20"/>
    <n v="240"/>
    <n v="150"/>
    <x v="2"/>
    <x v="0"/>
    <x v="187"/>
    <x v="0"/>
  </r>
  <r>
    <d v="2025-06-13T00:00:00"/>
    <x v="7"/>
    <x v="0"/>
    <x v="3"/>
    <x v="4"/>
    <x v="2"/>
    <x v="13"/>
    <n v="10"/>
    <n v="90"/>
    <n v="200"/>
    <n v="15"/>
    <n v="1700"/>
    <n v="800"/>
    <x v="0"/>
    <x v="0"/>
    <x v="398"/>
    <x v="2"/>
  </r>
  <r>
    <d v="2025-10-10T00:00:00"/>
    <x v="9"/>
    <x v="0"/>
    <x v="3"/>
    <x v="5"/>
    <x v="0"/>
    <x v="22"/>
    <n v="5"/>
    <n v="45"/>
    <n v="150"/>
    <n v="15"/>
    <n v="637.5"/>
    <n v="412.5"/>
    <x v="2"/>
    <x v="0"/>
    <x v="399"/>
    <x v="5"/>
  </r>
  <r>
    <d v="2025-11-21T00:00:00"/>
    <x v="1"/>
    <x v="0"/>
    <x v="1"/>
    <x v="1"/>
    <x v="1"/>
    <x v="1"/>
    <n v="2"/>
    <n v="30"/>
    <n v="150"/>
    <n v="10"/>
    <n v="270"/>
    <n v="210"/>
    <x v="2"/>
    <x v="0"/>
    <x v="400"/>
    <x v="3"/>
  </r>
  <r>
    <d v="2025-03-13T00:00:00"/>
    <x v="5"/>
    <x v="6"/>
    <x v="0"/>
    <x v="1"/>
    <x v="2"/>
    <x v="13"/>
    <n v="5"/>
    <n v="45"/>
    <n v="100"/>
    <n v="10"/>
    <n v="450"/>
    <n v="225"/>
    <x v="2"/>
    <x v="0"/>
    <x v="266"/>
    <x v="3"/>
  </r>
  <r>
    <d v="2025-02-04T00:00:00"/>
    <x v="10"/>
    <x v="5"/>
    <x v="2"/>
    <x v="3"/>
    <x v="1"/>
    <x v="9"/>
    <n v="2"/>
    <n v="20"/>
    <n v="100"/>
    <n v="20"/>
    <n v="160"/>
    <n v="120"/>
    <x v="2"/>
    <x v="0"/>
    <x v="401"/>
    <x v="5"/>
  </r>
  <r>
    <d v="2025-01-18T00:00:00"/>
    <x v="3"/>
    <x v="3"/>
    <x v="1"/>
    <x v="0"/>
    <x v="0"/>
    <x v="22"/>
    <n v="2"/>
    <n v="60"/>
    <n v="200"/>
    <n v="10"/>
    <n v="360"/>
    <n v="240"/>
    <x v="0"/>
    <x v="0"/>
    <x v="39"/>
    <x v="5"/>
  </r>
  <r>
    <d v="2025-07-04T00:00:00"/>
    <x v="11"/>
    <x v="0"/>
    <x v="3"/>
    <x v="0"/>
    <x v="2"/>
    <x v="2"/>
    <n v="3"/>
    <n v="90"/>
    <n v="200"/>
    <n v="0"/>
    <n v="600"/>
    <n v="330"/>
    <x v="1"/>
    <x v="1"/>
    <x v="258"/>
    <x v="5"/>
  </r>
  <r>
    <d v="2025-10-04T00:00:00"/>
    <x v="9"/>
    <x v="3"/>
    <x v="4"/>
    <x v="4"/>
    <x v="4"/>
    <x v="18"/>
    <n v="3"/>
    <n v="67.5"/>
    <n v="100"/>
    <n v="15"/>
    <n v="255"/>
    <n v="52.5"/>
    <x v="0"/>
    <x v="0"/>
    <x v="70"/>
    <x v="0"/>
  </r>
  <r>
    <d v="2025-12-16T00:00:00"/>
    <x v="8"/>
    <x v="5"/>
    <x v="0"/>
    <x v="6"/>
    <x v="3"/>
    <x v="17"/>
    <n v="10"/>
    <n v="60"/>
    <n v="150"/>
    <n v="0"/>
    <n v="1500"/>
    <n v="900"/>
    <x v="1"/>
    <x v="1"/>
    <x v="402"/>
    <x v="3"/>
  </r>
  <r>
    <d v="2025-10-07T00:00:00"/>
    <x v="9"/>
    <x v="5"/>
    <x v="3"/>
    <x v="1"/>
    <x v="2"/>
    <x v="5"/>
    <n v="5"/>
    <n v="67.5"/>
    <n v="150"/>
    <n v="0"/>
    <n v="750"/>
    <n v="412.5"/>
    <x v="1"/>
    <x v="1"/>
    <x v="403"/>
    <x v="3"/>
  </r>
  <r>
    <d v="2025-03-23T00:00:00"/>
    <x v="5"/>
    <x v="2"/>
    <x v="4"/>
    <x v="2"/>
    <x v="0"/>
    <x v="21"/>
    <n v="3"/>
    <n v="60"/>
    <n v="200"/>
    <n v="15"/>
    <n v="510"/>
    <n v="330"/>
    <x v="2"/>
    <x v="0"/>
    <x v="270"/>
    <x v="3"/>
  </r>
  <r>
    <d v="2025-12-15T00:00:00"/>
    <x v="8"/>
    <x v="4"/>
    <x v="1"/>
    <x v="3"/>
    <x v="2"/>
    <x v="13"/>
    <n v="1"/>
    <n v="45"/>
    <n v="100"/>
    <n v="10"/>
    <n v="90"/>
    <n v="45"/>
    <x v="2"/>
    <x v="0"/>
    <x v="328"/>
    <x v="0"/>
  </r>
  <r>
    <d v="2025-04-13T00:00:00"/>
    <x v="2"/>
    <x v="2"/>
    <x v="1"/>
    <x v="0"/>
    <x v="2"/>
    <x v="16"/>
    <n v="2"/>
    <n v="67.5"/>
    <n v="150"/>
    <n v="0"/>
    <n v="300"/>
    <n v="165"/>
    <x v="1"/>
    <x v="1"/>
    <x v="404"/>
    <x v="4"/>
  </r>
  <r>
    <d v="2025-06-26T00:00:00"/>
    <x v="7"/>
    <x v="6"/>
    <x v="3"/>
    <x v="4"/>
    <x v="1"/>
    <x v="9"/>
    <n v="1"/>
    <n v="40"/>
    <n v="200"/>
    <n v="20"/>
    <n v="160"/>
    <n v="120"/>
    <x v="0"/>
    <x v="0"/>
    <x v="405"/>
    <x v="1"/>
  </r>
  <r>
    <d v="2025-09-27T00:00:00"/>
    <x v="0"/>
    <x v="3"/>
    <x v="2"/>
    <x v="0"/>
    <x v="3"/>
    <x v="8"/>
    <n v="10"/>
    <n v="80"/>
    <n v="250"/>
    <n v="20"/>
    <n v="2000"/>
    <n v="1200"/>
    <x v="2"/>
    <x v="0"/>
    <x v="406"/>
    <x v="0"/>
  </r>
  <r>
    <d v="2025-03-14T00:00:00"/>
    <x v="5"/>
    <x v="0"/>
    <x v="2"/>
    <x v="0"/>
    <x v="0"/>
    <x v="0"/>
    <n v="2"/>
    <n v="60"/>
    <n v="200"/>
    <n v="0"/>
    <n v="400"/>
    <n v="280"/>
    <x v="0"/>
    <x v="1"/>
    <x v="407"/>
    <x v="0"/>
  </r>
  <r>
    <d v="2025-09-21T00:00:00"/>
    <x v="0"/>
    <x v="2"/>
    <x v="1"/>
    <x v="6"/>
    <x v="2"/>
    <x v="16"/>
    <n v="2"/>
    <n v="67.5"/>
    <n v="150"/>
    <n v="0"/>
    <n v="300"/>
    <n v="165"/>
    <x v="0"/>
    <x v="1"/>
    <x v="408"/>
    <x v="0"/>
  </r>
  <r>
    <d v="2025-08-10T00:00:00"/>
    <x v="6"/>
    <x v="2"/>
    <x v="0"/>
    <x v="6"/>
    <x v="1"/>
    <x v="12"/>
    <n v="3"/>
    <n v="10"/>
    <n v="50"/>
    <n v="20"/>
    <n v="120"/>
    <n v="90"/>
    <x v="2"/>
    <x v="0"/>
    <x v="409"/>
    <x v="4"/>
  </r>
  <r>
    <d v="2025-09-24T00:00:00"/>
    <x v="0"/>
    <x v="1"/>
    <x v="4"/>
    <x v="4"/>
    <x v="1"/>
    <x v="20"/>
    <n v="2"/>
    <n v="10"/>
    <n v="50"/>
    <n v="0"/>
    <n v="100"/>
    <n v="80"/>
    <x v="1"/>
    <x v="1"/>
    <x v="410"/>
    <x v="0"/>
  </r>
  <r>
    <d v="2025-07-03T00:00:00"/>
    <x v="11"/>
    <x v="6"/>
    <x v="3"/>
    <x v="2"/>
    <x v="4"/>
    <x v="4"/>
    <n v="3"/>
    <n v="112.5"/>
    <n v="250"/>
    <n v="5"/>
    <n v="712.5"/>
    <n v="375"/>
    <x v="2"/>
    <x v="0"/>
    <x v="405"/>
    <x v="3"/>
  </r>
  <r>
    <d v="2025-05-08T00:00:00"/>
    <x v="4"/>
    <x v="6"/>
    <x v="1"/>
    <x v="3"/>
    <x v="3"/>
    <x v="3"/>
    <n v="1"/>
    <n v="20"/>
    <n v="250"/>
    <n v="20"/>
    <n v="200"/>
    <n v="180"/>
    <x v="0"/>
    <x v="0"/>
    <x v="249"/>
    <x v="2"/>
  </r>
  <r>
    <d v="2025-06-03T00:00:00"/>
    <x v="7"/>
    <x v="5"/>
    <x v="3"/>
    <x v="4"/>
    <x v="1"/>
    <x v="1"/>
    <n v="10"/>
    <n v="10"/>
    <n v="50"/>
    <n v="15"/>
    <n v="425"/>
    <n v="325"/>
    <x v="2"/>
    <x v="0"/>
    <x v="297"/>
    <x v="0"/>
  </r>
  <r>
    <d v="2025-04-21T00:00:00"/>
    <x v="2"/>
    <x v="4"/>
    <x v="4"/>
    <x v="0"/>
    <x v="2"/>
    <x v="13"/>
    <n v="1"/>
    <n v="90"/>
    <n v="200"/>
    <n v="10"/>
    <n v="180"/>
    <n v="90"/>
    <x v="1"/>
    <x v="0"/>
    <x v="340"/>
    <x v="4"/>
  </r>
  <r>
    <d v="2025-08-02T00:00:00"/>
    <x v="6"/>
    <x v="3"/>
    <x v="1"/>
    <x v="2"/>
    <x v="1"/>
    <x v="12"/>
    <n v="10"/>
    <n v="40"/>
    <n v="200"/>
    <n v="15"/>
    <n v="1700"/>
    <n v="1300"/>
    <x v="0"/>
    <x v="0"/>
    <x v="411"/>
    <x v="5"/>
  </r>
  <r>
    <d v="2025-01-13T00:00:00"/>
    <x v="3"/>
    <x v="4"/>
    <x v="0"/>
    <x v="1"/>
    <x v="0"/>
    <x v="0"/>
    <n v="1"/>
    <n v="45"/>
    <n v="150"/>
    <n v="0"/>
    <n v="150"/>
    <n v="105"/>
    <x v="2"/>
    <x v="1"/>
    <x v="412"/>
    <x v="0"/>
  </r>
  <r>
    <d v="2025-05-21T00:00:00"/>
    <x v="4"/>
    <x v="1"/>
    <x v="4"/>
    <x v="0"/>
    <x v="0"/>
    <x v="19"/>
    <n v="1"/>
    <n v="30"/>
    <n v="100"/>
    <n v="5"/>
    <n v="95"/>
    <n v="65"/>
    <x v="0"/>
    <x v="0"/>
    <x v="413"/>
    <x v="5"/>
  </r>
  <r>
    <d v="2025-05-21T00:00:00"/>
    <x v="4"/>
    <x v="1"/>
    <x v="2"/>
    <x v="1"/>
    <x v="2"/>
    <x v="13"/>
    <n v="2"/>
    <n v="67.5"/>
    <n v="150"/>
    <n v="15"/>
    <n v="255"/>
    <n v="120"/>
    <x v="1"/>
    <x v="0"/>
    <x v="414"/>
    <x v="0"/>
  </r>
  <r>
    <d v="2025-10-17T00:00:00"/>
    <x v="9"/>
    <x v="0"/>
    <x v="0"/>
    <x v="0"/>
    <x v="0"/>
    <x v="10"/>
    <n v="1"/>
    <n v="75"/>
    <n v="250"/>
    <n v="5"/>
    <n v="237.5"/>
    <n v="162.5"/>
    <x v="2"/>
    <x v="0"/>
    <x v="415"/>
    <x v="4"/>
  </r>
  <r>
    <d v="2025-01-19T00:00:00"/>
    <x v="3"/>
    <x v="2"/>
    <x v="3"/>
    <x v="2"/>
    <x v="1"/>
    <x v="9"/>
    <n v="2"/>
    <n v="50"/>
    <n v="250"/>
    <n v="5"/>
    <n v="475"/>
    <n v="375"/>
    <x v="2"/>
    <x v="0"/>
    <x v="416"/>
    <x v="0"/>
  </r>
  <r>
    <d v="2025-07-07T00:00:00"/>
    <x v="11"/>
    <x v="4"/>
    <x v="0"/>
    <x v="2"/>
    <x v="0"/>
    <x v="22"/>
    <n v="2"/>
    <n v="45"/>
    <n v="150"/>
    <n v="5"/>
    <n v="285"/>
    <n v="195"/>
    <x v="2"/>
    <x v="0"/>
    <x v="417"/>
    <x v="2"/>
  </r>
  <r>
    <d v="2025-05-16T00:00:00"/>
    <x v="4"/>
    <x v="0"/>
    <x v="4"/>
    <x v="3"/>
    <x v="4"/>
    <x v="7"/>
    <n v="2"/>
    <n v="112.5"/>
    <n v="250"/>
    <n v="0"/>
    <n v="500"/>
    <n v="275"/>
    <x v="1"/>
    <x v="1"/>
    <x v="418"/>
    <x v="1"/>
  </r>
  <r>
    <d v="2025-10-13T00:00:00"/>
    <x v="9"/>
    <x v="4"/>
    <x v="2"/>
    <x v="5"/>
    <x v="1"/>
    <x v="9"/>
    <n v="10"/>
    <n v="50"/>
    <n v="250"/>
    <n v="5"/>
    <n v="2375"/>
    <n v="1875"/>
    <x v="0"/>
    <x v="0"/>
    <x v="419"/>
    <x v="4"/>
  </r>
  <r>
    <d v="2025-09-09T00:00:00"/>
    <x v="0"/>
    <x v="5"/>
    <x v="2"/>
    <x v="1"/>
    <x v="2"/>
    <x v="2"/>
    <n v="10"/>
    <n v="45"/>
    <n v="100"/>
    <n v="0"/>
    <n v="1000"/>
    <n v="550"/>
    <x v="2"/>
    <x v="1"/>
    <x v="42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B3123-BBAE-4AB6-A23B-E4FAF5E2DC94}" name="BOTTOM5_ITEMS_BY_CATEGOR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6">
  <location ref="AI3:AJ8"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axis="axisRow" showAll="0" measureFilter="1">
      <items count="24">
        <item x="10"/>
        <item x="1"/>
        <item x="18"/>
        <item x="21"/>
        <item x="3"/>
        <item x="2"/>
        <item x="6"/>
        <item x="11"/>
        <item x="17"/>
        <item x="7"/>
        <item x="19"/>
        <item x="13"/>
        <item x="20"/>
        <item x="9"/>
        <item x="16"/>
        <item x="14"/>
        <item x="0"/>
        <item x="12"/>
        <item x="22"/>
        <item x="15"/>
        <item x="4"/>
        <item x="5"/>
        <item x="8"/>
        <item t="default"/>
      </items>
    </pivotField>
    <pivotField showAll="0"/>
    <pivotField numFmtId="1"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2"/>
    </i>
    <i>
      <x v="10"/>
    </i>
    <i>
      <x v="18"/>
    </i>
    <i>
      <x v="19"/>
    </i>
    <i>
      <x v="20"/>
    </i>
  </rowItems>
  <colItems count="1">
    <i/>
  </colItems>
  <dataFields count="1">
    <dataField name="Sum of Profit" fld="12" baseField="0" baseItem="0" numFmtId="165"/>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A8027B-54E6-419A-8E63-04C449E98CCE}"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Z3:AA8"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axis="axisRow" showAll="0">
      <items count="6">
        <item x="0"/>
        <item x="2"/>
        <item x="3"/>
        <item x="4"/>
        <item x="1"/>
        <item t="default"/>
      </items>
    </pivotField>
    <pivotField showAll="0" measureFilter="1"/>
    <pivotField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5">
    <i>
      <x/>
    </i>
    <i>
      <x v="1"/>
    </i>
    <i>
      <x v="2"/>
    </i>
    <i>
      <x v="3"/>
    </i>
    <i>
      <x v="4"/>
    </i>
  </rowItems>
  <colItems count="1">
    <i/>
  </colItems>
  <dataFields count="1">
    <dataField name="Sum of Total Reveneue" fld="11" baseField="0" baseItem="0" numFmtId="165"/>
  </dataFields>
  <chartFormats count="1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5" count="1" selected="0">
            <x v="0"/>
          </reference>
        </references>
      </pivotArea>
    </chartFormat>
    <chartFormat chart="11" format="9">
      <pivotArea type="data" outline="0" fieldPosition="0">
        <references count="2">
          <reference field="4294967294" count="1" selected="0">
            <x v="0"/>
          </reference>
          <reference field="5" count="1" selected="0">
            <x v="1"/>
          </reference>
        </references>
      </pivotArea>
    </chartFormat>
    <chartFormat chart="11" format="10">
      <pivotArea type="data" outline="0" fieldPosition="0">
        <references count="2">
          <reference field="4294967294" count="1" selected="0">
            <x v="0"/>
          </reference>
          <reference field="5" count="1" selected="0">
            <x v="2"/>
          </reference>
        </references>
      </pivotArea>
    </chartFormat>
    <chartFormat chart="11" format="11">
      <pivotArea type="data" outline="0" fieldPosition="0">
        <references count="2">
          <reference field="4294967294" count="1" selected="0">
            <x v="0"/>
          </reference>
          <reference field="5" count="1" selected="0">
            <x v="3"/>
          </reference>
        </references>
      </pivotArea>
    </chartFormat>
    <chartFormat chart="11"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C2D09-C950-44BC-A31B-E292E622A1A9}"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BC3:BF5" firstHeaderRow="0"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showAll="0"/>
    <pivotField dataField="1" showAll="0"/>
    <pivotField numFmtId="1" showAll="0"/>
    <pivotField showAll="0"/>
    <pivotField showAll="0"/>
    <pivotField dataField="1" showAll="0"/>
    <pivotField dataField="1" showAll="0"/>
    <pivotField showAll="0"/>
    <pivotField axis="axisRow" showAll="0">
      <items count="3">
        <item x="1"/>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2">
    <i>
      <x/>
    </i>
    <i>
      <x v="1"/>
    </i>
  </rowItems>
  <colFields count="1">
    <field x="-2"/>
  </colFields>
  <colItems count="3">
    <i>
      <x/>
    </i>
    <i i="1">
      <x v="1"/>
    </i>
    <i i="2">
      <x v="2"/>
    </i>
  </colItems>
  <dataFields count="3">
    <dataField name="Sum of Unit Sold " fld="7" baseField="0" baseItem="0"/>
    <dataField name="Sum of Total Reveneue" fld="11" baseField="0" baseItem="0" numFmtId="165"/>
    <dataField name="Sum of Profi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20C361-256D-492F-9B4C-A64AA75DCE14}" name="BRANCH_WISE_REVENE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I3:J10"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axis="axisRow" showAll="0">
      <items count="8">
        <item x="6"/>
        <item x="1"/>
        <item x="5"/>
        <item x="0"/>
        <item x="2"/>
        <item x="3"/>
        <item x="4"/>
        <item t="default"/>
      </items>
    </pivotField>
    <pivotField showAll="0">
      <items count="6">
        <item x="0"/>
        <item x="2"/>
        <item x="3"/>
        <item x="4"/>
        <item x="1"/>
        <item t="default"/>
      </items>
    </pivotField>
    <pivotField showAll="0"/>
    <pivotField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7">
    <i>
      <x/>
    </i>
    <i>
      <x v="1"/>
    </i>
    <i>
      <x v="2"/>
    </i>
    <i>
      <x v="3"/>
    </i>
    <i>
      <x v="4"/>
    </i>
    <i>
      <x v="5"/>
    </i>
    <i>
      <x v="6"/>
    </i>
  </rowItems>
  <colItems count="1">
    <i/>
  </colItems>
  <dataFields count="1">
    <dataField name="Sum of Total Reveneue" fld="11"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E4F23C-F8A7-4805-AE13-5F9AF8AC97CD}" name="AVG_PROFIT_PER_SA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O3:AP27"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axis="axisRow" showAll="0">
      <items count="24">
        <item x="10"/>
        <item x="1"/>
        <item x="18"/>
        <item x="21"/>
        <item x="3"/>
        <item x="2"/>
        <item x="6"/>
        <item x="11"/>
        <item x="17"/>
        <item x="7"/>
        <item x="19"/>
        <item x="13"/>
        <item x="20"/>
        <item x="9"/>
        <item x="16"/>
        <item x="14"/>
        <item x="0"/>
        <item x="12"/>
        <item x="22"/>
        <item x="15"/>
        <item x="4"/>
        <item x="5"/>
        <item x="8"/>
        <item t="default"/>
      </items>
    </pivotField>
    <pivotField showAll="0"/>
    <pivotField numFmtId="1"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Profit" fld="12" subtotal="average" baseField="6" baseItem="4"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9AF74-96DD-4D9D-9090-0141C1A7F7FA}" name="PROFIT_TO_REVENEUE_FOR_BRANC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R3:AS11"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axis="axisRow" showAll="0">
      <items count="8">
        <item x="6"/>
        <item x="1"/>
        <item x="5"/>
        <item x="0"/>
        <item x="2"/>
        <item x="3"/>
        <item x="4"/>
        <item t="default"/>
      </items>
    </pivotField>
    <pivotField showAll="0">
      <items count="6">
        <item x="0"/>
        <item x="2"/>
        <item x="3"/>
        <item x="4"/>
        <item x="1"/>
        <item t="default"/>
      </items>
    </pivotField>
    <pivotField showAll="0"/>
    <pivotField showAll="0"/>
    <pivotField numFmtI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8">
    <i>
      <x/>
    </i>
    <i>
      <x v="1"/>
    </i>
    <i>
      <x v="2"/>
    </i>
    <i>
      <x v="3"/>
    </i>
    <i>
      <x v="4"/>
    </i>
    <i>
      <x v="5"/>
    </i>
    <i>
      <x v="6"/>
    </i>
    <i t="grand">
      <x/>
    </i>
  </rowItems>
  <colItems count="1">
    <i/>
  </colItems>
  <dataFields count="1">
    <dataField name="Sum of PROFIT RATIO" fld="19" baseField="0" baseItem="0"/>
  </dataFields>
  <formats count="3">
    <format dxfId="104">
      <pivotArea collapsedLevelsAreSubtotals="1" fieldPosition="0">
        <references count="2">
          <reference field="4294967294" count="1" selected="0">
            <x v="0"/>
          </reference>
          <reference field="4" count="1">
            <x v="0"/>
          </reference>
        </references>
      </pivotArea>
    </format>
    <format dxfId="103">
      <pivotArea collapsedLevelsAreSubtotals="1" fieldPosition="0">
        <references count="2">
          <reference field="4294967294" count="1" selected="0">
            <x v="0"/>
          </reference>
          <reference field="4" count="6">
            <x v="1"/>
            <x v="2"/>
            <x v="3"/>
            <x v="4"/>
            <x v="5"/>
            <x v="6"/>
          </reference>
        </references>
      </pivotArea>
    </format>
    <format dxfId="102">
      <pivotArea field="4" grandRow="1" outline="0" collapsedLevelsAreSubtotals="1" axis="axisRow" fieldPosition="0">
        <references count="1">
          <reference field="4294967294" count="1" selected="0">
            <x v="0"/>
          </reference>
        </references>
      </pivotArea>
    </format>
  </formats>
  <chartFormats count="8">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4" count="1" selected="0">
            <x v="0"/>
          </reference>
        </references>
      </pivotArea>
    </chartFormat>
    <chartFormat chart="19" format="11">
      <pivotArea type="data" outline="0" fieldPosition="0">
        <references count="2">
          <reference field="4294967294" count="1" selected="0">
            <x v="0"/>
          </reference>
          <reference field="4" count="1" selected="0">
            <x v="1"/>
          </reference>
        </references>
      </pivotArea>
    </chartFormat>
    <chartFormat chart="19" format="12">
      <pivotArea type="data" outline="0" fieldPosition="0">
        <references count="2">
          <reference field="4294967294" count="1" selected="0">
            <x v="0"/>
          </reference>
          <reference field="4" count="1" selected="0">
            <x v="2"/>
          </reference>
        </references>
      </pivotArea>
    </chartFormat>
    <chartFormat chart="19" format="13">
      <pivotArea type="data" outline="0" fieldPosition="0">
        <references count="2">
          <reference field="4294967294" count="1" selected="0">
            <x v="0"/>
          </reference>
          <reference field="4" count="1" selected="0">
            <x v="3"/>
          </reference>
        </references>
      </pivotArea>
    </chartFormat>
    <chartFormat chart="19" format="14">
      <pivotArea type="data" outline="0" fieldPosition="0">
        <references count="2">
          <reference field="4294967294" count="1" selected="0">
            <x v="0"/>
          </reference>
          <reference field="4" count="1" selected="0">
            <x v="4"/>
          </reference>
        </references>
      </pivotArea>
    </chartFormat>
    <chartFormat chart="19" format="15">
      <pivotArea type="data" outline="0" fieldPosition="0">
        <references count="2">
          <reference field="4294967294" count="1" selected="0">
            <x v="0"/>
          </reference>
          <reference field="4" count="1" selected="0">
            <x v="5"/>
          </reference>
        </references>
      </pivotArea>
    </chartFormat>
    <chartFormat chart="19"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9E809-02CA-4869-A4A5-76BD3DF9D291}" name="MOTH_WISE_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C3:D15" firstHeaderRow="1" firstDataRow="1" firstDataCol="1"/>
  <pivotFields count="20">
    <pivotField numFmtId="164" showAll="0"/>
    <pivotField axis="axisRow"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showAll="0"/>
    <pivotField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i>
    <i>
      <x v="1"/>
    </i>
    <i>
      <x v="2"/>
    </i>
    <i>
      <x v="3"/>
    </i>
    <i>
      <x v="4"/>
    </i>
    <i>
      <x v="5"/>
    </i>
    <i>
      <x v="6"/>
    </i>
    <i>
      <x v="7"/>
    </i>
    <i>
      <x v="8"/>
    </i>
    <i>
      <x v="9"/>
    </i>
    <i>
      <x v="10"/>
    </i>
    <i>
      <x v="11"/>
    </i>
  </rowItems>
  <colItems count="1">
    <i/>
  </colItems>
  <dataFields count="1">
    <dataField name="Sum of Total Reveneue" fld="1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66B4C1-E968-43C9-82EB-31EF8E855010}" name="BOTTOM5_ITEM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location ref="V3:X8" firstHeaderRow="0"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axis="axisRow" showAll="0" measureFilter="1" sortType="descending">
      <items count="24">
        <item x="10"/>
        <item x="1"/>
        <item x="18"/>
        <item x="21"/>
        <item x="3"/>
        <item x="2"/>
        <item x="6"/>
        <item x="11"/>
        <item x="17"/>
        <item x="7"/>
        <item x="19"/>
        <item x="13"/>
        <item x="20"/>
        <item x="9"/>
        <item x="16"/>
        <item x="14"/>
        <item x="0"/>
        <item x="12"/>
        <item x="22"/>
        <item x="15"/>
        <item x="4"/>
        <item x="5"/>
        <item x="8"/>
        <item t="default"/>
      </items>
      <autoSortScope>
        <pivotArea dataOnly="0" outline="0" fieldPosition="0">
          <references count="1">
            <reference field="4294967294" count="1" selected="0">
              <x v="1"/>
            </reference>
          </references>
        </pivotArea>
      </autoSortScope>
    </pivotField>
    <pivotField dataField="1"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13"/>
    </i>
    <i>
      <x v="20"/>
    </i>
    <i>
      <x v="18"/>
    </i>
    <i>
      <x v="10"/>
    </i>
    <i>
      <x v="19"/>
    </i>
  </rowItems>
  <colFields count="1">
    <field x="-2"/>
  </colFields>
  <colItems count="2">
    <i>
      <x/>
    </i>
    <i i="1">
      <x v="1"/>
    </i>
  </colItems>
  <dataFields count="2">
    <dataField name="Sum of Total Reveneue" fld="11" baseField="0" baseItem="0" numFmtId="165"/>
    <dataField name="Sum of Unit Sold " fld="7" baseField="0" baseItem="0"/>
  </dataFields>
  <chartFormats count="8">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71F425-040F-4F96-ABF4-62703EF07882}" name="TOP5_ITEMS_BY_REVENEUE_&amp;UNIT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R3:T8" firstHeaderRow="0"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axis="axisRow" showAll="0" measureFilter="1" sortType="descending">
      <items count="24">
        <item x="10"/>
        <item x="1"/>
        <item x="18"/>
        <item x="21"/>
        <item x="3"/>
        <item x="2"/>
        <item x="6"/>
        <item x="11"/>
        <item x="17"/>
        <item x="7"/>
        <item x="19"/>
        <item x="13"/>
        <item x="20"/>
        <item x="9"/>
        <item x="16"/>
        <item x="14"/>
        <item x="0"/>
        <item x="12"/>
        <item x="22"/>
        <item x="15"/>
        <item x="4"/>
        <item x="5"/>
        <item x="8"/>
        <item t="default"/>
      </items>
      <autoSortScope>
        <pivotArea dataOnly="0" outline="0" fieldPosition="0">
          <references count="1">
            <reference field="4294967294" count="1" selected="0">
              <x v="1"/>
            </reference>
          </references>
        </pivotArea>
      </autoSortScope>
    </pivotField>
    <pivotField dataField="1"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8"/>
    </i>
    <i>
      <x v="21"/>
    </i>
    <i>
      <x v="9"/>
    </i>
    <i>
      <x v="6"/>
    </i>
    <i>
      <x v="22"/>
    </i>
  </rowItems>
  <colFields count="1">
    <field x="-2"/>
  </colFields>
  <colItems count="2">
    <i>
      <x/>
    </i>
    <i i="1">
      <x v="1"/>
    </i>
  </colItems>
  <dataFields count="2">
    <dataField name="Sum of Total Reveneue" fld="11" baseField="6" baseItem="8" numFmtId="165"/>
    <dataField name="Sum of Unit Sold " fld="7" baseField="0" baseItem="0"/>
  </dataFields>
  <chartFormats count="6">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2E939A-99FD-44E7-BF5A-46B619C66449}"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BO3:BP10" firstHeaderRow="1" firstDataRow="1" firstDataCol="1"/>
  <pivotFields count="20">
    <pivotField numFmtId="164" showAll="0"/>
    <pivotField showAll="0">
      <items count="13">
        <item x="3"/>
        <item x="10"/>
        <item x="5"/>
        <item x="2"/>
        <item x="4"/>
        <item x="7"/>
        <item x="11"/>
        <item x="6"/>
        <item x="0"/>
        <item x="9"/>
        <item x="1"/>
        <item x="8"/>
        <item t="default"/>
      </items>
    </pivotField>
    <pivotField axis="axisRow" showAll="0" sortType="descending">
      <items count="8">
        <item x="4"/>
        <item x="5"/>
        <item x="1"/>
        <item x="6"/>
        <item x="0"/>
        <item x="3"/>
        <item x="2"/>
        <item t="default"/>
      </items>
      <autoSortScope>
        <pivotArea dataOnly="0" outline="0" fieldPosition="0">
          <references count="1">
            <reference field="4294967294" count="1" selected="0">
              <x v="0"/>
            </reference>
          </references>
        </pivotArea>
      </autoSortScope>
    </pivotField>
    <pivotField showAll="0">
      <items count="6">
        <item x="2"/>
        <item x="1"/>
        <item x="3"/>
        <item x="4"/>
        <item x="0"/>
        <item t="default"/>
      </items>
    </pivotField>
    <pivotField showAll="0"/>
    <pivotField showAll="0">
      <items count="6">
        <item x="0"/>
        <item x="2"/>
        <item x="3"/>
        <item x="4"/>
        <item x="1"/>
        <item t="default"/>
      </items>
    </pivotField>
    <pivotField showAll="0"/>
    <pivotField showAll="0"/>
    <pivotField numFmtId="1" showAll="0"/>
    <pivotField showAll="0"/>
    <pivotField showAll="0"/>
    <pivotField dataField="1" showAll="0"/>
    <pivotField showAll="0"/>
    <pivotField showAll="0">
      <items count="4">
        <item x="1"/>
        <item x="0"/>
        <item x="2"/>
        <item t="default"/>
      </items>
    </pivotField>
    <pivotField showAll="0"/>
    <pivotField showAll="0"/>
    <pivotField showAll="0">
      <items count="7">
        <item x="5"/>
        <item x="4"/>
        <item x="2"/>
        <item x="0"/>
        <item x="1"/>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v="1"/>
    </i>
    <i>
      <x v="2"/>
    </i>
    <i>
      <x v="5"/>
    </i>
    <i>
      <x v="6"/>
    </i>
    <i>
      <x/>
    </i>
    <i>
      <x v="3"/>
    </i>
    <i>
      <x v="4"/>
    </i>
  </rowItems>
  <colItems count="1">
    <i/>
  </colItems>
  <dataFields count="1">
    <dataField name="Sum of Total Revene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A11C15-9E6D-48E1-8AF7-9F08876C7C04}" name="PivotTable1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3">
  <location ref="AX3:BA9" firstHeaderRow="1" firstDataRow="2" firstDataCol="1"/>
  <pivotFields count="20">
    <pivotField numFmtId="164" showAll="0"/>
    <pivotField showAll="0">
      <items count="13">
        <item x="3"/>
        <item x="10"/>
        <item x="5"/>
        <item x="2"/>
        <item x="4"/>
        <item x="7"/>
        <item x="11"/>
        <item x="6"/>
        <item x="0"/>
        <item x="9"/>
        <item x="1"/>
        <item x="8"/>
        <item t="default"/>
      </items>
    </pivotField>
    <pivotField showAll="0"/>
    <pivotField axis="axisRow" showAll="0">
      <items count="6">
        <item x="2"/>
        <item x="1"/>
        <item x="3"/>
        <item x="4"/>
        <item x="0"/>
        <item t="default"/>
      </items>
    </pivotField>
    <pivotField showAll="0"/>
    <pivotField showAll="0">
      <items count="6">
        <item x="0"/>
        <item x="2"/>
        <item x="3"/>
        <item x="4"/>
        <item x="1"/>
        <item t="default"/>
      </items>
    </pivotField>
    <pivotField showAll="0"/>
    <pivotField showAll="0"/>
    <pivotField numFmtId="1" showAll="0"/>
    <pivotField showAll="0"/>
    <pivotField showAll="0"/>
    <pivotField showAll="0"/>
    <pivotField showAll="0"/>
    <pivotField axis="axisCol" dataField="1" showAll="0">
      <items count="4">
        <item x="1"/>
        <item x="0"/>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Fields count="1">
    <field x="13"/>
  </colFields>
  <colItems count="3">
    <i>
      <x/>
    </i>
    <i>
      <x v="1"/>
    </i>
    <i>
      <x v="2"/>
    </i>
  </colItems>
  <dataFields count="1">
    <dataField name="Count of Payment Mode" fld="13" subtotal="count" baseField="0" baseItem="0"/>
  </dataFields>
  <chartFormats count="6">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0" format="2" series="1">
      <pivotArea type="data" outline="0" fieldPosition="0">
        <references count="2">
          <reference field="4294967294" count="1" selected="0">
            <x v="0"/>
          </reference>
          <reference field="13" count="1" selected="0">
            <x v="2"/>
          </reference>
        </references>
      </pivotArea>
    </chartFormat>
    <chartFormat chart="22" format="6" series="1">
      <pivotArea type="data" outline="0" fieldPosition="0">
        <references count="2">
          <reference field="4294967294" count="1" selected="0">
            <x v="0"/>
          </reference>
          <reference field="13" count="1" selected="0">
            <x v="0"/>
          </reference>
        </references>
      </pivotArea>
    </chartFormat>
    <chartFormat chart="22" format="7" series="1">
      <pivotArea type="data" outline="0" fieldPosition="0">
        <references count="2">
          <reference field="4294967294" count="1" selected="0">
            <x v="0"/>
          </reference>
          <reference field="13" count="1" selected="0">
            <x v="1"/>
          </reference>
        </references>
      </pivotArea>
    </chartFormat>
    <chartFormat chart="2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DABF71-5D05-49D7-A295-1D2FB06202AA}" name="PROFIT_MAKE_IN_TOTA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L3:AM27"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axis="axisRow" showAll="0">
      <items count="24">
        <item x="10"/>
        <item x="1"/>
        <item x="18"/>
        <item x="21"/>
        <item x="3"/>
        <item x="2"/>
        <item x="6"/>
        <item x="11"/>
        <item x="17"/>
        <item x="7"/>
        <item x="19"/>
        <item x="13"/>
        <item x="20"/>
        <item x="9"/>
        <item x="16"/>
        <item x="14"/>
        <item x="0"/>
        <item x="12"/>
        <item x="22"/>
        <item x="15"/>
        <item x="4"/>
        <item x="5"/>
        <item x="8"/>
        <item t="default"/>
      </items>
    </pivotField>
    <pivotField showAll="0"/>
    <pivotField numFmtId="1"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3DE283-86D0-4D72-815D-7FE8D37E290C}"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BL3:BM9"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showAll="0"/>
    <pivotField showAll="0"/>
    <pivotField numFmtId="1" showAll="0"/>
    <pivotField showAll="0"/>
    <pivotField showAll="0"/>
    <pivotField dataField="1" showAll="0"/>
    <pivotField showAll="0"/>
    <pivotField showAll="0">
      <items count="4">
        <item x="1"/>
        <item x="0"/>
        <item x="2"/>
        <item t="default"/>
      </items>
    </pivotField>
    <pivotField showAll="0"/>
    <pivotField showAll="0"/>
    <pivotField axis="axisRow" showAll="0" sortType="descending">
      <items count="7">
        <item x="5"/>
        <item x="4"/>
        <item x="2"/>
        <item x="0"/>
        <item x="1"/>
        <item x="3"/>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v="3"/>
    </i>
    <i>
      <x v="1"/>
    </i>
    <i>
      <x v="5"/>
    </i>
    <i>
      <x/>
    </i>
    <i>
      <x v="2"/>
    </i>
    <i>
      <x v="4"/>
    </i>
  </rowItems>
  <colItems count="1">
    <i/>
  </colItems>
  <dataFields count="1">
    <dataField name="Sum of Total Revene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B321DA-7F0E-4CBA-9E42-60459729EE9F}" name="MOST_USED_PAYMENT_MOD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AU3:AV6"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showAll="0"/>
    <pivotField showAll="0"/>
    <pivotField numFmtId="1" showAll="0"/>
    <pivotField showAll="0"/>
    <pivotField showAll="0"/>
    <pivotField showAll="0"/>
    <pivotField showAll="0"/>
    <pivotField axis="axisRow" dataField="1" showAll="0">
      <items count="4">
        <item x="1"/>
        <item x="0"/>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3"/>
  </rowFields>
  <rowItems count="3">
    <i>
      <x/>
    </i>
    <i>
      <x v="1"/>
    </i>
    <i>
      <x v="2"/>
    </i>
  </rowItems>
  <colItems count="1">
    <i/>
  </colItems>
  <dataFields count="1">
    <dataField name="Count of Payment Mode" fld="13" subtotal="count" baseField="0" baseItem="0"/>
  </dataFields>
  <chartFormats count="8">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3" count="1" selected="0">
            <x v="0"/>
          </reference>
        </references>
      </pivotArea>
    </chartFormat>
    <chartFormat chart="20" format="2">
      <pivotArea type="data" outline="0" fieldPosition="0">
        <references count="2">
          <reference field="4294967294" count="1" selected="0">
            <x v="0"/>
          </reference>
          <reference field="13" count="1" selected="0">
            <x v="1"/>
          </reference>
        </references>
      </pivotArea>
    </chartFormat>
    <chartFormat chart="20" format="3">
      <pivotArea type="data" outline="0" fieldPosition="0">
        <references count="2">
          <reference field="4294967294" count="1" selected="0">
            <x v="0"/>
          </reference>
          <reference field="13"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3" count="1" selected="0">
            <x v="0"/>
          </reference>
        </references>
      </pivotArea>
    </chartFormat>
    <chartFormat chart="23" format="10">
      <pivotArea type="data" outline="0" fieldPosition="0">
        <references count="2">
          <reference field="4294967294" count="1" selected="0">
            <x v="0"/>
          </reference>
          <reference field="13" count="1" selected="0">
            <x v="1"/>
          </reference>
        </references>
      </pivotArea>
    </chartFormat>
    <chartFormat chart="23"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2A47A4-8B22-4A39-8EC0-C5EDA1CBE91B}" name="REGION_WISE_REVENE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L3:M8"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axis="axisRow" showAll="0">
      <items count="6">
        <item x="2"/>
        <item x="1"/>
        <item x="3"/>
        <item x="4"/>
        <item x="0"/>
        <item t="default"/>
      </items>
    </pivotField>
    <pivotField showAll="0"/>
    <pivotField showAll="0">
      <items count="6">
        <item x="0"/>
        <item x="2"/>
        <item x="3"/>
        <item x="4"/>
        <item x="1"/>
        <item t="default"/>
      </items>
    </pivotField>
    <pivotField showAll="0"/>
    <pivotField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Total Reveneue" fld="11"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25503A-A55A-40AA-BBF8-FE7C2E74CAE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9" firstHeaderRow="1" firstDataRow="1" firstDataCol="1"/>
  <pivotFields count="20">
    <pivotField numFmtId="164" showAll="0"/>
    <pivotField showAll="0"/>
    <pivotField showAll="0"/>
    <pivotField showAll="0"/>
    <pivotField showAll="0"/>
    <pivotField axis="axisRow" showAll="0">
      <items count="6">
        <item x="0"/>
        <item x="2"/>
        <item x="3"/>
        <item x="4"/>
        <item x="1"/>
        <item t="default"/>
      </items>
    </pivotField>
    <pivotField showAll="0"/>
    <pivotField dataField="1" showAll="0"/>
    <pivotField numFmtI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Sum of Unit Sold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F5E94A-F961-4CF5-8014-B98EF159F5B9}"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BH3:BJ8" firstHeaderRow="0"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showAll="0"/>
    <pivotField dataField="1" showAll="0"/>
    <pivotField numFmtId="1" showAll="0"/>
    <pivotField showAll="0"/>
    <pivotField showAll="0"/>
    <pivotField dataField="1" showAll="0"/>
    <pivotField showAll="0"/>
    <pivotField showAll="0">
      <items count="4">
        <item x="1"/>
        <item x="0"/>
        <item x="2"/>
        <item t="default"/>
      </items>
    </pivotField>
    <pivotField showAll="0"/>
    <pivotField axis="axisRow" showAll="0" measureFilter="1" sortType="descending">
      <items count="422">
        <item x="90"/>
        <item x="258"/>
        <item x="251"/>
        <item x="42"/>
        <item x="216"/>
        <item x="104"/>
        <item x="411"/>
        <item x="36"/>
        <item x="140"/>
        <item x="17"/>
        <item x="239"/>
        <item x="102"/>
        <item x="82"/>
        <item x="21"/>
        <item x="416"/>
        <item x="122"/>
        <item x="214"/>
        <item x="345"/>
        <item x="45"/>
        <item x="85"/>
        <item x="152"/>
        <item x="55"/>
        <item x="127"/>
        <item x="333"/>
        <item x="257"/>
        <item x="351"/>
        <item x="288"/>
        <item x="35"/>
        <item x="301"/>
        <item x="50"/>
        <item x="190"/>
        <item x="289"/>
        <item x="420"/>
        <item x="191"/>
        <item x="124"/>
        <item x="382"/>
        <item x="132"/>
        <item x="168"/>
        <item x="253"/>
        <item x="305"/>
        <item x="10"/>
        <item x="160"/>
        <item x="137"/>
        <item x="324"/>
        <item x="71"/>
        <item x="312"/>
        <item x="99"/>
        <item x="246"/>
        <item x="369"/>
        <item x="401"/>
        <item x="155"/>
        <item x="3"/>
        <item x="374"/>
        <item x="231"/>
        <item x="11"/>
        <item x="29"/>
        <item x="93"/>
        <item x="325"/>
        <item x="108"/>
        <item x="183"/>
        <item x="81"/>
        <item x="276"/>
        <item x="306"/>
        <item x="117"/>
        <item x="256"/>
        <item x="79"/>
        <item x="129"/>
        <item x="384"/>
        <item x="229"/>
        <item x="131"/>
        <item x="171"/>
        <item x="268"/>
        <item x="44"/>
        <item x="130"/>
        <item x="383"/>
        <item x="328"/>
        <item x="25"/>
        <item x="34"/>
        <item x="360"/>
        <item x="264"/>
        <item x="28"/>
        <item x="314"/>
        <item x="111"/>
        <item x="355"/>
        <item x="376"/>
        <item x="96"/>
        <item x="260"/>
        <item x="173"/>
        <item x="381"/>
        <item x="60"/>
        <item x="32"/>
        <item x="87"/>
        <item x="91"/>
        <item x="410"/>
        <item x="30"/>
        <item x="203"/>
        <item x="361"/>
        <item x="212"/>
        <item x="95"/>
        <item x="273"/>
        <item x="151"/>
        <item x="323"/>
        <item x="134"/>
        <item x="395"/>
        <item x="153"/>
        <item x="262"/>
        <item x="244"/>
        <item x="209"/>
        <item x="75"/>
        <item x="277"/>
        <item x="92"/>
        <item x="66"/>
        <item x="58"/>
        <item x="115"/>
        <item x="57"/>
        <item x="409"/>
        <item x="40"/>
        <item x="280"/>
        <item x="113"/>
        <item x="334"/>
        <item x="193"/>
        <item x="412"/>
        <item x="396"/>
        <item x="165"/>
        <item x="157"/>
        <item x="418"/>
        <item x="255"/>
        <item x="54"/>
        <item x="272"/>
        <item x="399"/>
        <item x="0"/>
        <item x="236"/>
        <item x="128"/>
        <item x="205"/>
        <item x="243"/>
        <item x="156"/>
        <item x="223"/>
        <item x="4"/>
        <item x="206"/>
        <item x="147"/>
        <item x="16"/>
        <item x="322"/>
        <item x="282"/>
        <item x="89"/>
        <item x="120"/>
        <item x="302"/>
        <item x="356"/>
        <item x="182"/>
        <item x="195"/>
        <item x="391"/>
        <item x="261"/>
        <item x="405"/>
        <item x="138"/>
        <item x="392"/>
        <item x="402"/>
        <item x="406"/>
        <item x="327"/>
        <item x="7"/>
        <item x="318"/>
        <item x="161"/>
        <item x="175"/>
        <item x="235"/>
        <item x="109"/>
        <item x="119"/>
        <item x="51"/>
        <item x="159"/>
        <item x="202"/>
        <item x="291"/>
        <item x="228"/>
        <item x="265"/>
        <item x="304"/>
        <item x="167"/>
        <item x="271"/>
        <item x="225"/>
        <item x="143"/>
        <item x="308"/>
        <item x="234"/>
        <item x="222"/>
        <item x="311"/>
        <item x="400"/>
        <item x="105"/>
        <item x="408"/>
        <item x="14"/>
        <item x="9"/>
        <item x="146"/>
        <item x="259"/>
        <item x="359"/>
        <item x="389"/>
        <item x="141"/>
        <item x="181"/>
        <item x="43"/>
        <item x="232"/>
        <item x="218"/>
        <item x="213"/>
        <item x="362"/>
        <item x="290"/>
        <item x="344"/>
        <item x="220"/>
        <item x="295"/>
        <item x="274"/>
        <item x="198"/>
        <item x="297"/>
        <item x="6"/>
        <item x="150"/>
        <item x="169"/>
        <item x="386"/>
        <item x="61"/>
        <item x="350"/>
        <item x="368"/>
        <item x="336"/>
        <item x="238"/>
        <item x="300"/>
        <item x="365"/>
        <item x="74"/>
        <item x="158"/>
        <item x="177"/>
        <item x="398"/>
        <item x="39"/>
        <item x="26"/>
        <item x="266"/>
        <item x="415"/>
        <item x="100"/>
        <item x="12"/>
        <item x="144"/>
        <item x="346"/>
        <item x="242"/>
        <item x="163"/>
        <item x="135"/>
        <item x="69"/>
        <item x="142"/>
        <item x="397"/>
        <item x="49"/>
        <item x="419"/>
        <item x="387"/>
        <item x="114"/>
        <item x="207"/>
        <item x="180"/>
        <item x="200"/>
        <item x="15"/>
        <item x="126"/>
        <item x="197"/>
        <item x="298"/>
        <item x="192"/>
        <item x="83"/>
        <item x="364"/>
        <item x="329"/>
        <item x="296"/>
        <item x="339"/>
        <item x="170"/>
        <item x="413"/>
        <item x="176"/>
        <item x="123"/>
        <item x="77"/>
        <item x="13"/>
        <item x="248"/>
        <item x="281"/>
        <item x="335"/>
        <item x="2"/>
        <item x="18"/>
        <item x="84"/>
        <item x="338"/>
        <item x="94"/>
        <item x="178"/>
        <item x="88"/>
        <item x="330"/>
        <item x="184"/>
        <item x="317"/>
        <item x="112"/>
        <item x="149"/>
        <item x="309"/>
        <item x="187"/>
        <item x="404"/>
        <item x="337"/>
        <item x="388"/>
        <item x="233"/>
        <item x="279"/>
        <item x="31"/>
        <item x="38"/>
        <item x="70"/>
        <item x="354"/>
        <item x="377"/>
        <item x="373"/>
        <item x="370"/>
        <item x="116"/>
        <item x="103"/>
        <item x="215"/>
        <item x="321"/>
        <item x="121"/>
        <item x="267"/>
        <item x="67"/>
        <item x="385"/>
        <item x="407"/>
        <item x="343"/>
        <item x="136"/>
        <item x="53"/>
        <item x="47"/>
        <item x="20"/>
        <item x="68"/>
        <item x="331"/>
        <item x="110"/>
        <item x="390"/>
        <item x="240"/>
        <item x="299"/>
        <item x="349"/>
        <item x="33"/>
        <item x="22"/>
        <item x="237"/>
        <item x="199"/>
        <item x="270"/>
        <item x="380"/>
        <item x="245"/>
        <item x="201"/>
        <item x="307"/>
        <item x="283"/>
        <item x="97"/>
        <item x="293"/>
        <item x="118"/>
        <item x="210"/>
        <item x="371"/>
        <item x="326"/>
        <item x="278"/>
        <item x="76"/>
        <item x="185"/>
        <item x="263"/>
        <item x="393"/>
        <item x="73"/>
        <item x="340"/>
        <item x="107"/>
        <item x="211"/>
        <item x="227"/>
        <item x="65"/>
        <item x="186"/>
        <item x="269"/>
        <item x="224"/>
        <item x="353"/>
        <item x="106"/>
        <item x="204"/>
        <item x="316"/>
        <item x="154"/>
        <item x="417"/>
        <item x="379"/>
        <item x="414"/>
        <item x="125"/>
        <item x="72"/>
        <item x="194"/>
        <item x="8"/>
        <item x="64"/>
        <item x="363"/>
        <item x="226"/>
        <item x="313"/>
        <item x="86"/>
        <item x="292"/>
        <item x="80"/>
        <item x="19"/>
        <item x="315"/>
        <item x="254"/>
        <item x="63"/>
        <item x="41"/>
        <item x="394"/>
        <item x="367"/>
        <item x="352"/>
        <item x="179"/>
        <item x="56"/>
        <item x="1"/>
        <item x="101"/>
        <item x="366"/>
        <item x="319"/>
        <item x="275"/>
        <item x="98"/>
        <item x="196"/>
        <item x="27"/>
        <item x="287"/>
        <item x="250"/>
        <item x="357"/>
        <item x="208"/>
        <item x="23"/>
        <item x="247"/>
        <item x="221"/>
        <item x="320"/>
        <item x="48"/>
        <item x="62"/>
        <item x="342"/>
        <item x="341"/>
        <item x="148"/>
        <item x="164"/>
        <item x="37"/>
        <item x="403"/>
        <item x="52"/>
        <item x="24"/>
        <item x="139"/>
        <item x="303"/>
        <item x="286"/>
        <item x="59"/>
        <item x="375"/>
        <item x="174"/>
        <item x="5"/>
        <item x="230"/>
        <item x="189"/>
        <item x="378"/>
        <item x="347"/>
        <item x="145"/>
        <item x="172"/>
        <item x="332"/>
        <item x="241"/>
        <item x="358"/>
        <item x="162"/>
        <item x="252"/>
        <item x="133"/>
        <item x="285"/>
        <item x="217"/>
        <item x="78"/>
        <item x="294"/>
        <item x="249"/>
        <item x="166"/>
        <item x="46"/>
        <item x="310"/>
        <item x="219"/>
        <item x="284"/>
        <item x="348"/>
        <item x="188"/>
        <item x="372"/>
        <item t="default"/>
      </items>
      <autoSortScope>
        <pivotArea dataOnly="0" outline="0" fieldPosition="0">
          <references count="1">
            <reference field="4294967294" count="1" selected="0">
              <x v="1"/>
            </reference>
          </references>
        </pivotArea>
      </autoSortScope>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15"/>
  </rowFields>
  <rowItems count="5">
    <i>
      <x v="162"/>
    </i>
    <i>
      <x v="145"/>
    </i>
    <i>
      <x v="344"/>
    </i>
    <i>
      <x v="397"/>
    </i>
    <i>
      <x v="217"/>
    </i>
  </rowItems>
  <colFields count="1">
    <field x="-2"/>
  </colFields>
  <colItems count="2">
    <i>
      <x/>
    </i>
    <i i="1">
      <x v="1"/>
    </i>
  </colItems>
  <dataFields count="2">
    <dataField name="Sum of Unit Sold " fld="7" baseField="0" baseItem="0"/>
    <dataField name="Sum of Total Reveneue" fld="11" baseField="0" baseItem="0"/>
  </dataFields>
  <pivotTableStyleInfo name="PivotStyleLight16" showRowHeaders="1" showColHeaders="1" showRowStripes="0" showColStripes="0" showLastColumn="1"/>
  <filters count="1">
    <filter fld="15" type="count" evalOrder="-1" id="7"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969C51-DB28-4D3A-8EC0-91DD4255B8B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0">
    <pivotField numFmtId="164" showAll="0"/>
    <pivotField showAll="0"/>
    <pivotField showAll="0"/>
    <pivotField showAll="0"/>
    <pivotField showAll="0"/>
    <pivotField showAll="0"/>
    <pivotField showAll="0"/>
    <pivotField showAll="0"/>
    <pivotField numFmtId="1"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Revene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F7AB29-2478-4323-96BA-E161FF0080D4}" name="CATEGORY_WISE_PROFI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location ref="AC3:AD8"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axis="axisRow" showAll="0">
      <items count="6">
        <item x="0"/>
        <item x="2"/>
        <item x="3"/>
        <item x="4"/>
        <item x="1"/>
        <item t="default"/>
      </items>
    </pivotField>
    <pivotField showAll="0"/>
    <pivotField showAll="0"/>
    <pivotField numFmtId="1"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5">
    <i>
      <x/>
    </i>
    <i>
      <x v="1"/>
    </i>
    <i>
      <x v="2"/>
    </i>
    <i>
      <x v="3"/>
    </i>
    <i>
      <x v="4"/>
    </i>
  </rowItems>
  <colItems count="1">
    <i/>
  </colItems>
  <dataFields count="1">
    <dataField name="Sum of Profit" fld="12" baseField="0" baseItem="0" numFmtId="165"/>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F12C1F7-3DAA-4CFD-982B-6103ECBE9719}" name="TOP5_ITMS_BY_CATEGOR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location ref="AF3:AG8" firstHeaderRow="1" firstDataRow="1" firstDataCol="1"/>
  <pivotFields count="20">
    <pivotField numFmtId="164" showAll="0"/>
    <pivotField showAll="0">
      <items count="13">
        <item x="3"/>
        <item x="10"/>
        <item x="5"/>
        <item x="2"/>
        <item x="4"/>
        <item x="7"/>
        <item x="11"/>
        <item x="6"/>
        <item x="0"/>
        <item x="9"/>
        <item x="1"/>
        <item x="8"/>
        <item t="default"/>
      </items>
    </pivotField>
    <pivotField showAll="0"/>
    <pivotField showAll="0">
      <items count="6">
        <item x="2"/>
        <item x="1"/>
        <item x="3"/>
        <item x="4"/>
        <item x="0"/>
        <item t="default"/>
      </items>
    </pivotField>
    <pivotField showAll="0"/>
    <pivotField showAll="0">
      <items count="6">
        <item x="0"/>
        <item x="2"/>
        <item x="3"/>
        <item x="4"/>
        <item x="1"/>
        <item t="default"/>
      </items>
    </pivotField>
    <pivotField axis="axisRow" showAll="0" measureFilter="1">
      <items count="24">
        <item x="10"/>
        <item x="1"/>
        <item x="18"/>
        <item x="21"/>
        <item x="3"/>
        <item x="2"/>
        <item x="6"/>
        <item x="11"/>
        <item x="17"/>
        <item x="7"/>
        <item x="19"/>
        <item x="13"/>
        <item x="20"/>
        <item x="9"/>
        <item x="16"/>
        <item x="14"/>
        <item x="0"/>
        <item x="12"/>
        <item x="22"/>
        <item x="15"/>
        <item x="4"/>
        <item x="5"/>
        <item x="8"/>
        <item t="default"/>
      </items>
    </pivotField>
    <pivotField showAll="0"/>
    <pivotField numFmtId="1"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1"/>
    </i>
    <i>
      <x v="3"/>
    </i>
    <i>
      <x v="8"/>
    </i>
    <i>
      <x v="17"/>
    </i>
    <i>
      <x v="22"/>
    </i>
  </rowItems>
  <colItems count="1">
    <i/>
  </colItems>
  <dataFields count="1">
    <dataField name="Sum of Profit" fld="12" baseField="0" baseItem="0" numFmtId="165"/>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13240E-EFC5-4C20-A43F-A2C4D49DAA5A}" sourceName="Category">
  <pivotTables>
    <pivotTable tabId="5" name="MOTH_WISE_SALES"/>
    <pivotTable tabId="5" name="BRANCH_WISE_REVENEUE"/>
    <pivotTable tabId="5" name="REGION_WISE_REVENEUE"/>
    <pivotTable tabId="5" name="TOP5_ITEMS_BY_REVENEUE_&amp;UNITS"/>
    <pivotTable tabId="5" name="BOTTOM5_ITEMS"/>
    <pivotTable tabId="5" name="PivotTable11"/>
    <pivotTable tabId="5" name="CATEGORY_WISE_PROFIT"/>
    <pivotTable tabId="5" name="TOP5_ITMS_BY_CATEGORY"/>
    <pivotTable tabId="5" name="BOTTOM5_ITEMS_BY_CATEGORY"/>
    <pivotTable tabId="5" name="PROFIT_MAKE_IN_TOTAL"/>
    <pivotTable tabId="5" name="AVG_PROFIT_PER_SALE"/>
    <pivotTable tabId="5" name="PROFIT_TO_REVENEUE_FOR_BRANCH"/>
    <pivotTable tabId="5" name="MOST_USED_PAYMENT_MODE"/>
    <pivotTable tabId="5" name="PivotTable13"/>
    <pivotTable tabId="5" name="PivotTable2"/>
    <pivotTable tabId="5" name="PivotTable3"/>
    <pivotTable tabId="5" name="PivotTable4"/>
    <pivotTable tabId="5" name="PivotTable5"/>
  </pivotTables>
  <data>
    <tabular pivotCacheId="1501089191">
      <items count="5">
        <i x="0" s="1"/>
        <i x="2"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E19999-0469-418F-88A2-1BABF2723B5F}" sourceName="Region">
  <pivotTables>
    <pivotTable tabId="5" name="MOTH_WISE_SALES"/>
    <pivotTable tabId="5" name="BRANCH_WISE_REVENEUE"/>
    <pivotTable tabId="5" name="REGION_WISE_REVENEUE"/>
    <pivotTable tabId="5" name="TOP5_ITEMS_BY_REVENEUE_&amp;UNITS"/>
    <pivotTable tabId="5" name="BOTTOM5_ITEMS"/>
    <pivotTable tabId="5" name="PivotTable11"/>
    <pivotTable tabId="5" name="CATEGORY_WISE_PROFIT"/>
    <pivotTable tabId="5" name="TOP5_ITMS_BY_CATEGORY"/>
    <pivotTable tabId="5" name="BOTTOM5_ITEMS_BY_CATEGORY"/>
    <pivotTable tabId="5" name="PROFIT_MAKE_IN_TOTAL"/>
    <pivotTable tabId="5" name="AVG_PROFIT_PER_SALE"/>
    <pivotTable tabId="5" name="PROFIT_TO_REVENEUE_FOR_BRANCH"/>
    <pivotTable tabId="5" name="MOST_USED_PAYMENT_MODE"/>
    <pivotTable tabId="5" name="PivotTable13"/>
    <pivotTable tabId="5" name="PivotTable2"/>
    <pivotTable tabId="5" name="PivotTable3"/>
    <pivotTable tabId="5" name="PivotTable4"/>
    <pivotTable tabId="5" name="PivotTable5"/>
  </pivotTables>
  <data>
    <tabular pivotCacheId="1501089191">
      <items count="5">
        <i x="2" s="1"/>
        <i x="1"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DC6DC95-18B1-4EF1-8961-CA843B90998D}" sourceName="Month">
  <pivotTables>
    <pivotTable tabId="5" name="MOTH_WISE_SALES"/>
    <pivotTable tabId="5" name="BRANCH_WISE_REVENEUE"/>
    <pivotTable tabId="5" name="REGION_WISE_REVENEUE"/>
    <pivotTable tabId="5" name="TOP5_ITEMS_BY_REVENEUE_&amp;UNITS"/>
    <pivotTable tabId="5" name="BOTTOM5_ITEMS"/>
    <pivotTable tabId="5" name="PivotTable11"/>
    <pivotTable tabId="5" name="CATEGORY_WISE_PROFIT"/>
    <pivotTable tabId="5" name="TOP5_ITMS_BY_CATEGORY"/>
    <pivotTable tabId="5" name="BOTTOM5_ITEMS_BY_CATEGORY"/>
    <pivotTable tabId="5" name="PROFIT_MAKE_IN_TOTAL"/>
    <pivotTable tabId="5" name="AVG_PROFIT_PER_SALE"/>
    <pivotTable tabId="5" name="PROFIT_TO_REVENEUE_FOR_BRANCH"/>
    <pivotTable tabId="5" name="MOST_USED_PAYMENT_MODE"/>
    <pivotTable tabId="5" name="PivotTable13"/>
    <pivotTable tabId="5" name="PivotTable2"/>
    <pivotTable tabId="5" name="PivotTable3"/>
    <pivotTable tabId="5" name="PivotTable4"/>
    <pivotTable tabId="5" name="PivotTable5"/>
  </pivotTables>
  <data>
    <tabular pivotCacheId="1501089191">
      <items count="12">
        <i x="3" s="1"/>
        <i x="10" s="1"/>
        <i x="5" s="1"/>
        <i x="2" s="1"/>
        <i x="4" s="1"/>
        <i x="7" s="1"/>
        <i x="11" s="1"/>
        <i x="6" s="1"/>
        <i x="0" s="1"/>
        <i x="9"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5B13FA-AF47-46D9-A27D-A90D1001B65C}" cache="Slicer_Category" caption="Category" columnCount="5" style="SlicerStyleLight2" rowHeight="360000"/>
  <slicer name="Region" xr10:uid="{6C766E85-897E-4617-B3E1-856F9AE70CC2}" cache="Slicer_Region" caption="Region" columnCount="5" style="SlicerStyleLight2" rowHeight="360000"/>
  <slicer name="Month" xr10:uid="{C5D40DDB-5B58-4DCA-9452-A637248A6A9E}" cache="Slicer_Month" caption="Month" columnCount="12" style="SlicerStyleLight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B13093B-056B-4A47-BBE6-AD3A3B3B3910}" cache="Slicer_Category" caption="Category" columnCount="5" style="SlicerStyleLight2" rowHeight="360000"/>
  <slicer name="Region 1" xr10:uid="{8CF9BBED-F611-4660-9B3D-763E5E8DD7EB}" cache="Slicer_Region" caption="Region" columnCount="5" style="SlicerStyleLight2" rowHeight="360000"/>
  <slicer name="Month 1" xr10:uid="{03796BA3-FCFA-45D7-997E-711E02F34EFC}" cache="Slicer_Month" caption="Month" columnCount="12" style="SlicerStyleLight2"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289CE983-35F5-4411-B301-4AE2E5BABBF2}" cache="Slicer_Category" caption="Category" columnCount="5" style="SlicerStyleLight2" rowHeight="360000"/>
  <slicer name="Region 2" xr10:uid="{B9465ABE-B3E2-4BEB-B387-EFF0C09B589C}" cache="Slicer_Region" caption="Region" columnCount="5" style="SlicerStyleLight2" rowHeight="360000"/>
  <slicer name="Month 2" xr10:uid="{A2AD4CAB-79EB-494E-9849-9ECBFC49B6D5}" cache="Slicer_Month" caption="Month" columnCount="12" style="SlicerStyleLight2" rowHeight="28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4482F208-196C-4652-A541-48FB8A7CF06B}" cache="Slicer_Category" caption="Category" columnCount="5" style="SlicerStyleLight2" rowHeight="360000"/>
  <slicer name="Region 3" xr10:uid="{EA686579-EABC-4C20-8F63-C9954798AD47}" cache="Slicer_Region" caption="Region" columnCount="5" style="SlicerStyleLight2" rowHeight="360000"/>
  <slicer name="Month 3" xr10:uid="{D3AC4A4A-B5E6-4DB3-B5B7-C97312ABD6A1}" cache="Slicer_Month" caption="Month" columnCount="12" style="SlicerStyleLight2" rowHeight="288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F154ED97-803A-4F07-ADA9-72954432D7CC}" cache="Slicer_Category" caption="Category" columnCount="5" showCaption="0" style="SlicerStyleLight2" rowHeight="216000"/>
  <slicer name="Region 4" xr10:uid="{AF174B8C-4444-4B66-9F60-E3CBE768896A}" cache="Slicer_Region" caption="Region" columnCount="5" showCaption="0" style="SlicerStyleLight2" rowHeight="216000"/>
  <slicer name="Month 4" xr10:uid="{B92589C9-9767-408C-9949-4A0BC4238289}" cache="Slicer_Month" caption="Month" columnCount="12" showCaption="0" style="SlicerStyleLight2" rowHeight="180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5" xr10:uid="{C55DD1ED-60FF-4B00-83D9-120AD2AB1BD9}" cache="Slicer_Category" caption="Category" columnCount="5" showCaption="0" style="SlicerStyleLight2" rowHeight="288000"/>
  <slicer name="Region 5" xr10:uid="{CF0B9FF9-B737-4B00-BADB-556164FF108F}" cache="Slicer_Region" caption="Region" columnCount="5" showCaption="0" style="SlicerStyleLight2" rowHeight="288000"/>
  <slicer name="Month 5" xr10:uid="{1762B169-BFC8-4BD0-B5E5-2A7589501FF7}" cache="Slicer_Month" caption="Month" columnCount="12" showCaption="0" style="SlicerStyleLight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DDF1A-8A93-40E4-9590-62FE25B9929A}">
  <dimension ref="A1:Q586"/>
  <sheetViews>
    <sheetView topLeftCell="G1" zoomScale="80" zoomScaleNormal="80" workbookViewId="0">
      <selection activeCell="L23" sqref="L23"/>
    </sheetView>
  </sheetViews>
  <sheetFormatPr defaultRowHeight="15" x14ac:dyDescent="0.25"/>
  <cols>
    <col min="1" max="8" width="18" customWidth="1"/>
    <col min="9" max="9" width="28.140625" bestFit="1" customWidth="1"/>
    <col min="10" max="10" width="29.28515625" bestFit="1" customWidth="1"/>
    <col min="11" max="14" width="18" customWidth="1"/>
    <col min="15" max="15" width="25.7109375" bestFit="1" customWidth="1"/>
    <col min="16" max="17" width="18" customWidth="1"/>
  </cols>
  <sheetData>
    <row r="1" spans="1:17" x14ac:dyDescent="0.25">
      <c r="A1" s="1" t="s">
        <v>0</v>
      </c>
      <c r="B1" s="1" t="s">
        <v>479</v>
      </c>
      <c r="C1" s="1" t="s">
        <v>480</v>
      </c>
      <c r="D1" s="1" t="s">
        <v>1</v>
      </c>
      <c r="E1" s="1" t="s">
        <v>2</v>
      </c>
      <c r="F1" s="1" t="s">
        <v>3</v>
      </c>
      <c r="G1" s="1" t="s">
        <v>4</v>
      </c>
      <c r="H1" s="1" t="s">
        <v>502</v>
      </c>
      <c r="I1" s="1" t="s">
        <v>504</v>
      </c>
      <c r="J1" s="1" t="s">
        <v>503</v>
      </c>
      <c r="K1" s="1" t="s">
        <v>5</v>
      </c>
      <c r="L1" s="1" t="s">
        <v>481</v>
      </c>
      <c r="M1" s="1" t="s">
        <v>482</v>
      </c>
      <c r="N1" s="1" t="s">
        <v>6</v>
      </c>
      <c r="O1" s="1" t="s">
        <v>521</v>
      </c>
      <c r="P1" s="1" t="s">
        <v>7</v>
      </c>
      <c r="Q1" s="1" t="s">
        <v>8</v>
      </c>
    </row>
    <row r="2" spans="1:17" x14ac:dyDescent="0.25">
      <c r="A2" s="2">
        <v>45926</v>
      </c>
      <c r="B2" s="2" t="s">
        <v>483</v>
      </c>
      <c r="C2" s="2" t="s">
        <v>484</v>
      </c>
      <c r="D2" s="3" t="s">
        <v>9</v>
      </c>
      <c r="E2" s="3" t="s">
        <v>10</v>
      </c>
      <c r="F2" s="3" t="s">
        <v>11</v>
      </c>
      <c r="G2" s="3" t="s">
        <v>12</v>
      </c>
      <c r="H2" s="3">
        <v>2</v>
      </c>
      <c r="I2" s="4">
        <v>45</v>
      </c>
      <c r="J2" s="3">
        <v>150</v>
      </c>
      <c r="K2" s="3">
        <v>15</v>
      </c>
      <c r="L2" s="3">
        <v>255</v>
      </c>
      <c r="M2" s="3">
        <v>165</v>
      </c>
      <c r="N2" s="3" t="s">
        <v>13</v>
      </c>
      <c r="O2" s="3" t="str">
        <f>IF(K2&gt;0,"YES","NO")</f>
        <v>YES</v>
      </c>
      <c r="P2" s="3" t="s">
        <v>14</v>
      </c>
      <c r="Q2" s="3" t="s">
        <v>15</v>
      </c>
    </row>
    <row r="3" spans="1:17" x14ac:dyDescent="0.25">
      <c r="A3" s="2">
        <v>45975</v>
      </c>
      <c r="B3" s="2" t="s">
        <v>485</v>
      </c>
      <c r="C3" s="2" t="s">
        <v>484</v>
      </c>
      <c r="D3" s="3" t="s">
        <v>9</v>
      </c>
      <c r="E3" s="3" t="s">
        <v>16</v>
      </c>
      <c r="F3" s="3" t="s">
        <v>17</v>
      </c>
      <c r="G3" s="3" t="s">
        <v>18</v>
      </c>
      <c r="H3" s="3">
        <v>2</v>
      </c>
      <c r="I3" s="4">
        <v>40</v>
      </c>
      <c r="J3" s="3">
        <v>200</v>
      </c>
      <c r="K3" s="3">
        <v>0</v>
      </c>
      <c r="L3" s="3">
        <v>400</v>
      </c>
      <c r="M3" s="3">
        <v>320</v>
      </c>
      <c r="N3" s="3" t="s">
        <v>19</v>
      </c>
      <c r="O3" s="3" t="str">
        <f t="shared" ref="O3:O66" si="0">IF(K3&gt;0,"YES","NO")</f>
        <v>NO</v>
      </c>
      <c r="P3" s="3" t="s">
        <v>20</v>
      </c>
      <c r="Q3" s="3" t="s">
        <v>21</v>
      </c>
    </row>
    <row r="4" spans="1:17" x14ac:dyDescent="0.25">
      <c r="A4" s="2">
        <v>45770</v>
      </c>
      <c r="B4" s="2" t="s">
        <v>486</v>
      </c>
      <c r="C4" s="2" t="s">
        <v>487</v>
      </c>
      <c r="D4" s="3" t="s">
        <v>22</v>
      </c>
      <c r="E4" s="3" t="s">
        <v>23</v>
      </c>
      <c r="F4" s="3" t="s">
        <v>24</v>
      </c>
      <c r="G4" s="3" t="s">
        <v>25</v>
      </c>
      <c r="H4" s="3">
        <v>2</v>
      </c>
      <c r="I4" s="4">
        <v>112.5</v>
      </c>
      <c r="J4" s="3">
        <v>250</v>
      </c>
      <c r="K4" s="3">
        <v>5</v>
      </c>
      <c r="L4" s="3">
        <v>475</v>
      </c>
      <c r="M4" s="3">
        <v>250</v>
      </c>
      <c r="N4" s="3" t="s">
        <v>19</v>
      </c>
      <c r="O4" s="3" t="str">
        <f t="shared" si="0"/>
        <v>YES</v>
      </c>
      <c r="P4" s="3" t="s">
        <v>26</v>
      </c>
      <c r="Q4" s="3" t="s">
        <v>15</v>
      </c>
    </row>
    <row r="5" spans="1:17" x14ac:dyDescent="0.25">
      <c r="A5" s="2">
        <v>45921</v>
      </c>
      <c r="B5" s="2" t="s">
        <v>483</v>
      </c>
      <c r="C5" s="2" t="s">
        <v>488</v>
      </c>
      <c r="D5" s="3" t="s">
        <v>27</v>
      </c>
      <c r="E5" s="3" t="s">
        <v>28</v>
      </c>
      <c r="F5" s="3" t="s">
        <v>29</v>
      </c>
      <c r="G5" s="3" t="s">
        <v>30</v>
      </c>
      <c r="H5" s="3">
        <v>3</v>
      </c>
      <c r="I5" s="4">
        <v>40</v>
      </c>
      <c r="J5" s="3">
        <v>150</v>
      </c>
      <c r="K5" s="3">
        <v>20</v>
      </c>
      <c r="L5" s="3">
        <v>360</v>
      </c>
      <c r="M5" s="3">
        <v>240</v>
      </c>
      <c r="N5" s="3" t="s">
        <v>13</v>
      </c>
      <c r="O5" s="3" t="str">
        <f t="shared" si="0"/>
        <v>YES</v>
      </c>
      <c r="P5" s="3" t="s">
        <v>31</v>
      </c>
      <c r="Q5" s="3" t="s">
        <v>21</v>
      </c>
    </row>
    <row r="6" spans="1:17" x14ac:dyDescent="0.25">
      <c r="A6" s="2">
        <v>45665</v>
      </c>
      <c r="B6" s="2" t="s">
        <v>489</v>
      </c>
      <c r="C6" s="2" t="s">
        <v>487</v>
      </c>
      <c r="D6" s="3" t="s">
        <v>32</v>
      </c>
      <c r="E6" s="3" t="s">
        <v>28</v>
      </c>
      <c r="F6" s="3" t="s">
        <v>33</v>
      </c>
      <c r="G6" s="3" t="s">
        <v>34</v>
      </c>
      <c r="H6" s="3">
        <v>2</v>
      </c>
      <c r="I6" s="4">
        <v>112.5</v>
      </c>
      <c r="J6" s="3">
        <v>100</v>
      </c>
      <c r="K6" s="3">
        <v>20</v>
      </c>
      <c r="L6" s="3">
        <v>160</v>
      </c>
      <c r="M6" s="3">
        <v>-65</v>
      </c>
      <c r="N6" s="3" t="s">
        <v>35</v>
      </c>
      <c r="O6" s="3" t="str">
        <f t="shared" si="0"/>
        <v>YES</v>
      </c>
      <c r="P6" s="3" t="s">
        <v>36</v>
      </c>
      <c r="Q6" s="3" t="s">
        <v>37</v>
      </c>
    </row>
    <row r="7" spans="1:17" x14ac:dyDescent="0.25">
      <c r="A7" s="2">
        <v>45676</v>
      </c>
      <c r="B7" s="2" t="s">
        <v>489</v>
      </c>
      <c r="C7" s="2" t="s">
        <v>488</v>
      </c>
      <c r="D7" s="3" t="s">
        <v>38</v>
      </c>
      <c r="E7" s="3" t="s">
        <v>39</v>
      </c>
      <c r="F7" s="3" t="s">
        <v>29</v>
      </c>
      <c r="G7" s="3" t="s">
        <v>30</v>
      </c>
      <c r="H7" s="3">
        <v>1</v>
      </c>
      <c r="I7" s="4">
        <v>20</v>
      </c>
      <c r="J7" s="3">
        <v>250</v>
      </c>
      <c r="K7" s="3">
        <v>15</v>
      </c>
      <c r="L7" s="3">
        <v>212.5</v>
      </c>
      <c r="M7" s="3">
        <v>192.5</v>
      </c>
      <c r="N7" s="3" t="s">
        <v>13</v>
      </c>
      <c r="O7" s="3" t="str">
        <f t="shared" si="0"/>
        <v>YES</v>
      </c>
      <c r="P7" s="3" t="s">
        <v>40</v>
      </c>
      <c r="Q7" s="3" t="s">
        <v>41</v>
      </c>
    </row>
    <row r="8" spans="1:17" x14ac:dyDescent="0.25">
      <c r="A8" s="2">
        <v>45772</v>
      </c>
      <c r="B8" s="2" t="s">
        <v>486</v>
      </c>
      <c r="C8" s="2" t="s">
        <v>484</v>
      </c>
      <c r="D8" s="3" t="s">
        <v>27</v>
      </c>
      <c r="E8" s="3" t="s">
        <v>23</v>
      </c>
      <c r="F8" s="3" t="s">
        <v>24</v>
      </c>
      <c r="G8" s="3" t="s">
        <v>42</v>
      </c>
      <c r="H8" s="3">
        <v>1</v>
      </c>
      <c r="I8" s="4">
        <v>22.5</v>
      </c>
      <c r="J8" s="3">
        <v>50</v>
      </c>
      <c r="K8" s="3">
        <v>0</v>
      </c>
      <c r="L8" s="3">
        <v>50</v>
      </c>
      <c r="M8" s="3">
        <v>27.5</v>
      </c>
      <c r="N8" s="3" t="s">
        <v>35</v>
      </c>
      <c r="O8" s="3" t="str">
        <f t="shared" si="0"/>
        <v>NO</v>
      </c>
      <c r="P8" s="3" t="s">
        <v>43</v>
      </c>
      <c r="Q8" s="3" t="s">
        <v>41</v>
      </c>
    </row>
    <row r="9" spans="1:17" x14ac:dyDescent="0.25">
      <c r="A9" s="2">
        <v>45682</v>
      </c>
      <c r="B9" s="2" t="s">
        <v>489</v>
      </c>
      <c r="C9" s="2" t="s">
        <v>490</v>
      </c>
      <c r="D9" s="3" t="s">
        <v>22</v>
      </c>
      <c r="E9" s="3" t="s">
        <v>23</v>
      </c>
      <c r="F9" s="3" t="s">
        <v>24</v>
      </c>
      <c r="G9" s="3" t="s">
        <v>25</v>
      </c>
      <c r="H9" s="3">
        <v>1</v>
      </c>
      <c r="I9" s="4">
        <v>112.5</v>
      </c>
      <c r="J9" s="3">
        <v>250</v>
      </c>
      <c r="K9" s="3">
        <v>10</v>
      </c>
      <c r="L9" s="3">
        <v>225</v>
      </c>
      <c r="M9" s="3">
        <v>112.5</v>
      </c>
      <c r="N9" s="3" t="s">
        <v>35</v>
      </c>
      <c r="O9" s="3" t="str">
        <f t="shared" si="0"/>
        <v>YES</v>
      </c>
      <c r="P9" s="3" t="s">
        <v>44</v>
      </c>
      <c r="Q9" s="3" t="s">
        <v>45</v>
      </c>
    </row>
    <row r="10" spans="1:17" x14ac:dyDescent="0.25">
      <c r="A10" s="2">
        <v>45985</v>
      </c>
      <c r="B10" s="2" t="s">
        <v>485</v>
      </c>
      <c r="C10" s="2" t="s">
        <v>491</v>
      </c>
      <c r="D10" s="3" t="s">
        <v>9</v>
      </c>
      <c r="E10" s="3" t="s">
        <v>28</v>
      </c>
      <c r="F10" s="3" t="s">
        <v>11</v>
      </c>
      <c r="G10" s="3" t="s">
        <v>12</v>
      </c>
      <c r="H10" s="3">
        <v>10</v>
      </c>
      <c r="I10" s="4">
        <v>60</v>
      </c>
      <c r="J10" s="3">
        <v>200</v>
      </c>
      <c r="K10" s="3">
        <v>5</v>
      </c>
      <c r="L10" s="3">
        <v>1900</v>
      </c>
      <c r="M10" s="3">
        <v>1300</v>
      </c>
      <c r="N10" s="3" t="s">
        <v>35</v>
      </c>
      <c r="O10" s="3" t="str">
        <f t="shared" si="0"/>
        <v>YES</v>
      </c>
      <c r="P10" s="3" t="s">
        <v>46</v>
      </c>
      <c r="Q10" s="3" t="s">
        <v>15</v>
      </c>
    </row>
    <row r="11" spans="1:17" x14ac:dyDescent="0.25">
      <c r="A11" s="2">
        <v>45805</v>
      </c>
      <c r="B11" s="2" t="s">
        <v>492</v>
      </c>
      <c r="C11" s="2" t="s">
        <v>487</v>
      </c>
      <c r="D11" s="3" t="s">
        <v>9</v>
      </c>
      <c r="E11" s="3" t="s">
        <v>23</v>
      </c>
      <c r="F11" s="3" t="s">
        <v>29</v>
      </c>
      <c r="G11" s="3" t="s">
        <v>47</v>
      </c>
      <c r="H11" s="3">
        <v>3</v>
      </c>
      <c r="I11" s="4">
        <v>40</v>
      </c>
      <c r="J11" s="3">
        <v>150</v>
      </c>
      <c r="K11" s="3">
        <v>0</v>
      </c>
      <c r="L11" s="3">
        <v>450</v>
      </c>
      <c r="M11" s="3">
        <v>330</v>
      </c>
      <c r="N11" s="3" t="s">
        <v>13</v>
      </c>
      <c r="O11" s="3" t="str">
        <f t="shared" si="0"/>
        <v>NO</v>
      </c>
      <c r="P11" s="3" t="s">
        <v>48</v>
      </c>
      <c r="Q11" s="3" t="s">
        <v>41</v>
      </c>
    </row>
    <row r="12" spans="1:17" x14ac:dyDescent="0.25">
      <c r="A12" s="2">
        <v>45664</v>
      </c>
      <c r="B12" s="2" t="s">
        <v>489</v>
      </c>
      <c r="C12" s="2" t="s">
        <v>493</v>
      </c>
      <c r="D12" s="3" t="s">
        <v>32</v>
      </c>
      <c r="E12" s="3" t="s">
        <v>28</v>
      </c>
      <c r="F12" s="3" t="s">
        <v>29</v>
      </c>
      <c r="G12" s="3" t="s">
        <v>47</v>
      </c>
      <c r="H12" s="3">
        <v>3</v>
      </c>
      <c r="I12" s="4">
        <v>40</v>
      </c>
      <c r="J12" s="3">
        <v>100</v>
      </c>
      <c r="K12" s="3">
        <v>20</v>
      </c>
      <c r="L12" s="3">
        <v>240</v>
      </c>
      <c r="M12" s="3">
        <v>120</v>
      </c>
      <c r="N12" s="3" t="s">
        <v>19</v>
      </c>
      <c r="O12" s="3" t="str">
        <f t="shared" si="0"/>
        <v>YES</v>
      </c>
      <c r="P12" s="3" t="s">
        <v>49</v>
      </c>
      <c r="Q12" s="3" t="s">
        <v>37</v>
      </c>
    </row>
    <row r="13" spans="1:17" x14ac:dyDescent="0.25">
      <c r="A13" s="2">
        <v>45734</v>
      </c>
      <c r="B13" s="2" t="s">
        <v>494</v>
      </c>
      <c r="C13" s="2" t="s">
        <v>493</v>
      </c>
      <c r="D13" s="3" t="s">
        <v>32</v>
      </c>
      <c r="E13" s="3" t="s">
        <v>10</v>
      </c>
      <c r="F13" s="3" t="s">
        <v>33</v>
      </c>
      <c r="G13" s="3" t="s">
        <v>50</v>
      </c>
      <c r="H13" s="3">
        <v>2</v>
      </c>
      <c r="I13" s="4">
        <v>112.5</v>
      </c>
      <c r="J13" s="3">
        <v>100</v>
      </c>
      <c r="K13" s="3">
        <v>0</v>
      </c>
      <c r="L13" s="3">
        <v>200</v>
      </c>
      <c r="M13" s="3">
        <v>-25</v>
      </c>
      <c r="N13" s="3" t="s">
        <v>19</v>
      </c>
      <c r="O13" s="3" t="str">
        <f t="shared" si="0"/>
        <v>NO</v>
      </c>
      <c r="P13" s="3" t="s">
        <v>51</v>
      </c>
      <c r="Q13" s="3" t="s">
        <v>15</v>
      </c>
    </row>
    <row r="14" spans="1:17" x14ac:dyDescent="0.25">
      <c r="A14" s="2">
        <v>45890</v>
      </c>
      <c r="B14" s="2" t="s">
        <v>495</v>
      </c>
      <c r="C14" s="2" t="s">
        <v>496</v>
      </c>
      <c r="D14" s="3" t="s">
        <v>9</v>
      </c>
      <c r="E14" s="3" t="s">
        <v>39</v>
      </c>
      <c r="F14" s="3" t="s">
        <v>11</v>
      </c>
      <c r="G14" s="3" t="s">
        <v>12</v>
      </c>
      <c r="H14" s="3">
        <v>5</v>
      </c>
      <c r="I14" s="4">
        <v>75</v>
      </c>
      <c r="J14" s="3">
        <v>250</v>
      </c>
      <c r="K14" s="3">
        <v>0</v>
      </c>
      <c r="L14" s="3">
        <v>1250</v>
      </c>
      <c r="M14" s="3">
        <v>875</v>
      </c>
      <c r="N14" s="3" t="s">
        <v>13</v>
      </c>
      <c r="O14" s="3" t="str">
        <f t="shared" si="0"/>
        <v>NO</v>
      </c>
      <c r="P14" s="3" t="s">
        <v>52</v>
      </c>
      <c r="Q14" s="3" t="s">
        <v>45</v>
      </c>
    </row>
    <row r="15" spans="1:17" x14ac:dyDescent="0.25">
      <c r="A15" s="2">
        <v>45817</v>
      </c>
      <c r="B15" s="2" t="s">
        <v>497</v>
      </c>
      <c r="C15" s="2" t="s">
        <v>491</v>
      </c>
      <c r="D15" s="3" t="s">
        <v>32</v>
      </c>
      <c r="E15" s="3" t="s">
        <v>28</v>
      </c>
      <c r="F15" s="3" t="s">
        <v>33</v>
      </c>
      <c r="G15" s="3" t="s">
        <v>34</v>
      </c>
      <c r="H15" s="3">
        <v>2</v>
      </c>
      <c r="I15" s="4">
        <v>45</v>
      </c>
      <c r="J15" s="3">
        <v>50</v>
      </c>
      <c r="K15" s="3">
        <v>0</v>
      </c>
      <c r="L15" s="3">
        <v>100</v>
      </c>
      <c r="M15" s="3">
        <v>10</v>
      </c>
      <c r="N15" s="3" t="s">
        <v>19</v>
      </c>
      <c r="O15" s="3" t="str">
        <f t="shared" si="0"/>
        <v>NO</v>
      </c>
      <c r="P15" s="3" t="s">
        <v>53</v>
      </c>
      <c r="Q15" s="3" t="s">
        <v>41</v>
      </c>
    </row>
    <row r="16" spans="1:17" x14ac:dyDescent="0.25">
      <c r="A16" s="2">
        <v>45794</v>
      </c>
      <c r="B16" s="2" t="s">
        <v>492</v>
      </c>
      <c r="C16" s="2" t="s">
        <v>490</v>
      </c>
      <c r="D16" s="3" t="s">
        <v>38</v>
      </c>
      <c r="E16" s="3" t="s">
        <v>39</v>
      </c>
      <c r="F16" s="3" t="s">
        <v>29</v>
      </c>
      <c r="G16" s="3" t="s">
        <v>54</v>
      </c>
      <c r="H16" s="3">
        <v>2</v>
      </c>
      <c r="I16" s="4">
        <v>60</v>
      </c>
      <c r="J16" s="3">
        <v>100</v>
      </c>
      <c r="K16" s="3">
        <v>0</v>
      </c>
      <c r="L16" s="3">
        <v>200</v>
      </c>
      <c r="M16" s="3">
        <v>80</v>
      </c>
      <c r="N16" s="3" t="s">
        <v>13</v>
      </c>
      <c r="O16" s="3" t="str">
        <f t="shared" si="0"/>
        <v>NO</v>
      </c>
      <c r="P16" s="3" t="s">
        <v>55</v>
      </c>
      <c r="Q16" s="3" t="s">
        <v>21</v>
      </c>
    </row>
    <row r="17" spans="1:17" x14ac:dyDescent="0.25">
      <c r="A17" s="2">
        <v>45998</v>
      </c>
      <c r="B17" s="2" t="s">
        <v>498</v>
      </c>
      <c r="C17" s="2" t="s">
        <v>488</v>
      </c>
      <c r="D17" s="3" t="s">
        <v>38</v>
      </c>
      <c r="E17" s="3" t="s">
        <v>39</v>
      </c>
      <c r="F17" s="3" t="s">
        <v>17</v>
      </c>
      <c r="G17" s="3" t="s">
        <v>56</v>
      </c>
      <c r="H17" s="3">
        <v>3</v>
      </c>
      <c r="I17" s="4">
        <v>30</v>
      </c>
      <c r="J17" s="3">
        <v>150</v>
      </c>
      <c r="K17" s="3">
        <v>20</v>
      </c>
      <c r="L17" s="3">
        <v>360</v>
      </c>
      <c r="M17" s="3">
        <v>270</v>
      </c>
      <c r="N17" s="3" t="s">
        <v>19</v>
      </c>
      <c r="O17" s="3" t="str">
        <f t="shared" si="0"/>
        <v>YES</v>
      </c>
      <c r="P17" s="3" t="s">
        <v>57</v>
      </c>
      <c r="Q17" s="3" t="s">
        <v>45</v>
      </c>
    </row>
    <row r="18" spans="1:17" x14ac:dyDescent="0.25">
      <c r="A18" s="2">
        <v>46019</v>
      </c>
      <c r="B18" s="2" t="s">
        <v>498</v>
      </c>
      <c r="C18" s="2" t="s">
        <v>488</v>
      </c>
      <c r="D18" s="3" t="s">
        <v>22</v>
      </c>
      <c r="E18" s="3" t="s">
        <v>58</v>
      </c>
      <c r="F18" s="3" t="s">
        <v>11</v>
      </c>
      <c r="G18" s="3" t="s">
        <v>59</v>
      </c>
      <c r="H18" s="3">
        <v>10</v>
      </c>
      <c r="I18" s="4">
        <v>75</v>
      </c>
      <c r="J18" s="3">
        <v>250</v>
      </c>
      <c r="K18" s="3">
        <v>15</v>
      </c>
      <c r="L18" s="3">
        <v>2125</v>
      </c>
      <c r="M18" s="3">
        <v>1375</v>
      </c>
      <c r="N18" s="3" t="s">
        <v>35</v>
      </c>
      <c r="O18" s="3" t="str">
        <f t="shared" si="0"/>
        <v>YES</v>
      </c>
      <c r="P18" s="3" t="s">
        <v>60</v>
      </c>
      <c r="Q18" s="3" t="s">
        <v>61</v>
      </c>
    </row>
    <row r="19" spans="1:17" x14ac:dyDescent="0.25">
      <c r="A19" s="2">
        <v>45665</v>
      </c>
      <c r="B19" s="2" t="s">
        <v>489</v>
      </c>
      <c r="C19" s="2" t="s">
        <v>487</v>
      </c>
      <c r="D19" s="3" t="s">
        <v>27</v>
      </c>
      <c r="E19" s="3" t="s">
        <v>58</v>
      </c>
      <c r="F19" s="3" t="s">
        <v>33</v>
      </c>
      <c r="G19" s="3" t="s">
        <v>34</v>
      </c>
      <c r="H19" s="3">
        <v>10</v>
      </c>
      <c r="I19" s="4">
        <v>90</v>
      </c>
      <c r="J19" s="3">
        <v>50</v>
      </c>
      <c r="K19" s="3">
        <v>10</v>
      </c>
      <c r="L19" s="3">
        <v>450</v>
      </c>
      <c r="M19" s="3">
        <v>-450</v>
      </c>
      <c r="N19" s="3" t="s">
        <v>35</v>
      </c>
      <c r="O19" s="3" t="str">
        <f t="shared" si="0"/>
        <v>YES</v>
      </c>
      <c r="P19" s="3" t="s">
        <v>62</v>
      </c>
      <c r="Q19" s="3" t="s">
        <v>45</v>
      </c>
    </row>
    <row r="20" spans="1:17" x14ac:dyDescent="0.25">
      <c r="A20" s="2">
        <v>45828</v>
      </c>
      <c r="B20" s="2" t="s">
        <v>497</v>
      </c>
      <c r="C20" s="2" t="s">
        <v>484</v>
      </c>
      <c r="D20" s="3" t="s">
        <v>27</v>
      </c>
      <c r="E20" s="3" t="s">
        <v>16</v>
      </c>
      <c r="F20" s="3" t="s">
        <v>33</v>
      </c>
      <c r="G20" s="3" t="s">
        <v>63</v>
      </c>
      <c r="H20" s="3">
        <v>3</v>
      </c>
      <c r="I20" s="4">
        <v>45</v>
      </c>
      <c r="J20" s="3">
        <v>200</v>
      </c>
      <c r="K20" s="3">
        <v>5</v>
      </c>
      <c r="L20" s="3">
        <v>570</v>
      </c>
      <c r="M20" s="3">
        <v>435</v>
      </c>
      <c r="N20" s="3" t="s">
        <v>19</v>
      </c>
      <c r="O20" s="3" t="str">
        <f t="shared" si="0"/>
        <v>YES</v>
      </c>
      <c r="P20" s="3" t="s">
        <v>64</v>
      </c>
      <c r="Q20" s="3" t="s">
        <v>15</v>
      </c>
    </row>
    <row r="21" spans="1:17" x14ac:dyDescent="0.25">
      <c r="A21" s="2">
        <v>45784</v>
      </c>
      <c r="B21" s="2" t="s">
        <v>492</v>
      </c>
      <c r="C21" s="2" t="s">
        <v>487</v>
      </c>
      <c r="D21" s="3" t="s">
        <v>38</v>
      </c>
      <c r="E21" s="3" t="s">
        <v>10</v>
      </c>
      <c r="F21" s="3" t="s">
        <v>11</v>
      </c>
      <c r="G21" s="3" t="s">
        <v>59</v>
      </c>
      <c r="H21" s="3">
        <v>10</v>
      </c>
      <c r="I21" s="4">
        <v>30</v>
      </c>
      <c r="J21" s="3">
        <v>100</v>
      </c>
      <c r="K21" s="3">
        <v>10</v>
      </c>
      <c r="L21" s="3">
        <v>900</v>
      </c>
      <c r="M21" s="3">
        <v>600</v>
      </c>
      <c r="N21" s="3" t="s">
        <v>19</v>
      </c>
      <c r="O21" s="3" t="str">
        <f t="shared" si="0"/>
        <v>YES</v>
      </c>
      <c r="P21" s="3" t="s">
        <v>65</v>
      </c>
      <c r="Q21" s="3" t="s">
        <v>15</v>
      </c>
    </row>
    <row r="22" spans="1:17" x14ac:dyDescent="0.25">
      <c r="A22" s="2">
        <v>45933</v>
      </c>
      <c r="B22" s="2" t="s">
        <v>499</v>
      </c>
      <c r="C22" s="2" t="s">
        <v>484</v>
      </c>
      <c r="D22" s="3" t="s">
        <v>22</v>
      </c>
      <c r="E22" s="3" t="s">
        <v>39</v>
      </c>
      <c r="F22" s="3" t="s">
        <v>29</v>
      </c>
      <c r="G22" s="3" t="s">
        <v>47</v>
      </c>
      <c r="H22" s="3">
        <v>5</v>
      </c>
      <c r="I22" s="4">
        <v>20</v>
      </c>
      <c r="J22" s="3">
        <v>200</v>
      </c>
      <c r="K22" s="3">
        <v>0</v>
      </c>
      <c r="L22" s="3">
        <v>1000</v>
      </c>
      <c r="M22" s="3">
        <v>900</v>
      </c>
      <c r="N22" s="3" t="s">
        <v>35</v>
      </c>
      <c r="O22" s="3" t="str">
        <f t="shared" si="0"/>
        <v>NO</v>
      </c>
      <c r="P22" s="3" t="s">
        <v>66</v>
      </c>
      <c r="Q22" s="3" t="s">
        <v>41</v>
      </c>
    </row>
    <row r="23" spans="1:17" x14ac:dyDescent="0.25">
      <c r="A23" s="2">
        <v>45666</v>
      </c>
      <c r="B23" s="2" t="s">
        <v>489</v>
      </c>
      <c r="C23" s="2" t="s">
        <v>496</v>
      </c>
      <c r="D23" s="3" t="s">
        <v>32</v>
      </c>
      <c r="E23" s="3" t="s">
        <v>16</v>
      </c>
      <c r="F23" s="3" t="s">
        <v>24</v>
      </c>
      <c r="G23" s="3" t="s">
        <v>42</v>
      </c>
      <c r="H23" s="3">
        <v>2</v>
      </c>
      <c r="I23" s="4">
        <v>22.5</v>
      </c>
      <c r="J23" s="3">
        <v>50</v>
      </c>
      <c r="K23" s="3">
        <v>0</v>
      </c>
      <c r="L23" s="3">
        <v>100</v>
      </c>
      <c r="M23" s="3">
        <v>55</v>
      </c>
      <c r="N23" s="3" t="s">
        <v>19</v>
      </c>
      <c r="O23" s="3" t="str">
        <f t="shared" si="0"/>
        <v>NO</v>
      </c>
      <c r="P23" s="3" t="s">
        <v>67</v>
      </c>
      <c r="Q23" s="3" t="s">
        <v>61</v>
      </c>
    </row>
    <row r="24" spans="1:17" x14ac:dyDescent="0.25">
      <c r="A24" s="2">
        <v>46018</v>
      </c>
      <c r="B24" s="2" t="s">
        <v>498</v>
      </c>
      <c r="C24" s="2" t="s">
        <v>490</v>
      </c>
      <c r="D24" s="3" t="s">
        <v>9</v>
      </c>
      <c r="E24" s="3" t="s">
        <v>39</v>
      </c>
      <c r="F24" s="3" t="s">
        <v>17</v>
      </c>
      <c r="G24" s="3" t="s">
        <v>68</v>
      </c>
      <c r="H24" s="3">
        <v>10</v>
      </c>
      <c r="I24" s="4">
        <v>30</v>
      </c>
      <c r="J24" s="3">
        <v>150</v>
      </c>
      <c r="K24" s="3">
        <v>15</v>
      </c>
      <c r="L24" s="3">
        <v>1275</v>
      </c>
      <c r="M24" s="3">
        <v>975</v>
      </c>
      <c r="N24" s="3" t="s">
        <v>19</v>
      </c>
      <c r="O24" s="3" t="str">
        <f t="shared" si="0"/>
        <v>YES</v>
      </c>
      <c r="P24" s="3" t="s">
        <v>69</v>
      </c>
      <c r="Q24" s="3" t="s">
        <v>61</v>
      </c>
    </row>
    <row r="25" spans="1:17" x14ac:dyDescent="0.25">
      <c r="A25" s="2">
        <v>45711</v>
      </c>
      <c r="B25" s="2" t="s">
        <v>500</v>
      </c>
      <c r="C25" s="2" t="s">
        <v>488</v>
      </c>
      <c r="D25" s="3" t="s">
        <v>27</v>
      </c>
      <c r="E25" s="3" t="s">
        <v>70</v>
      </c>
      <c r="F25" s="3" t="s">
        <v>24</v>
      </c>
      <c r="G25" s="3" t="s">
        <v>71</v>
      </c>
      <c r="H25" s="3">
        <v>1</v>
      </c>
      <c r="I25" s="4">
        <v>67.5</v>
      </c>
      <c r="J25" s="3">
        <v>150</v>
      </c>
      <c r="K25" s="3">
        <v>0</v>
      </c>
      <c r="L25" s="3">
        <v>150</v>
      </c>
      <c r="M25" s="3">
        <v>82.5</v>
      </c>
      <c r="N25" s="3" t="s">
        <v>13</v>
      </c>
      <c r="O25" s="3" t="str">
        <f t="shared" si="0"/>
        <v>NO</v>
      </c>
      <c r="P25" s="3" t="s">
        <v>72</v>
      </c>
      <c r="Q25" s="3" t="s">
        <v>45</v>
      </c>
    </row>
    <row r="26" spans="1:17" x14ac:dyDescent="0.25">
      <c r="A26" s="2">
        <v>45833</v>
      </c>
      <c r="B26" s="2" t="s">
        <v>497</v>
      </c>
      <c r="C26" s="2" t="s">
        <v>487</v>
      </c>
      <c r="D26" s="3" t="s">
        <v>22</v>
      </c>
      <c r="E26" s="3" t="s">
        <v>23</v>
      </c>
      <c r="F26" s="3" t="s">
        <v>33</v>
      </c>
      <c r="G26" s="3" t="s">
        <v>63</v>
      </c>
      <c r="H26" s="3">
        <v>10</v>
      </c>
      <c r="I26" s="4">
        <v>22.5</v>
      </c>
      <c r="J26" s="3">
        <v>250</v>
      </c>
      <c r="K26" s="3">
        <v>15</v>
      </c>
      <c r="L26" s="3">
        <v>2125</v>
      </c>
      <c r="M26" s="3">
        <v>1900</v>
      </c>
      <c r="N26" s="3" t="s">
        <v>35</v>
      </c>
      <c r="O26" s="3" t="str">
        <f t="shared" si="0"/>
        <v>YES</v>
      </c>
      <c r="P26" s="3" t="s">
        <v>73</v>
      </c>
      <c r="Q26" s="3" t="s">
        <v>15</v>
      </c>
    </row>
    <row r="27" spans="1:17" x14ac:dyDescent="0.25">
      <c r="A27" s="2">
        <v>45832</v>
      </c>
      <c r="B27" s="2" t="s">
        <v>497</v>
      </c>
      <c r="C27" s="2" t="s">
        <v>493</v>
      </c>
      <c r="D27" s="3" t="s">
        <v>38</v>
      </c>
      <c r="E27" s="3" t="s">
        <v>10</v>
      </c>
      <c r="F27" s="3" t="s">
        <v>24</v>
      </c>
      <c r="G27" s="3" t="s">
        <v>42</v>
      </c>
      <c r="H27" s="3">
        <v>2</v>
      </c>
      <c r="I27" s="4">
        <v>22.5</v>
      </c>
      <c r="J27" s="3">
        <v>50</v>
      </c>
      <c r="K27" s="3">
        <v>10</v>
      </c>
      <c r="L27" s="3">
        <v>90</v>
      </c>
      <c r="M27" s="3">
        <v>45</v>
      </c>
      <c r="N27" s="3" t="s">
        <v>35</v>
      </c>
      <c r="O27" s="3" t="str">
        <f t="shared" si="0"/>
        <v>YES</v>
      </c>
      <c r="P27" s="3" t="s">
        <v>74</v>
      </c>
      <c r="Q27" s="3" t="s">
        <v>37</v>
      </c>
    </row>
    <row r="28" spans="1:17" x14ac:dyDescent="0.25">
      <c r="A28" s="2">
        <v>45921</v>
      </c>
      <c r="B28" s="2" t="s">
        <v>483</v>
      </c>
      <c r="C28" s="2" t="s">
        <v>488</v>
      </c>
      <c r="D28" s="3" t="s">
        <v>27</v>
      </c>
      <c r="E28" s="3" t="s">
        <v>28</v>
      </c>
      <c r="F28" s="3" t="s">
        <v>29</v>
      </c>
      <c r="G28" s="3" t="s">
        <v>54</v>
      </c>
      <c r="H28" s="3">
        <v>10</v>
      </c>
      <c r="I28" s="4">
        <v>60</v>
      </c>
      <c r="J28" s="3">
        <v>250</v>
      </c>
      <c r="K28" s="3">
        <v>20</v>
      </c>
      <c r="L28" s="3">
        <v>2000</v>
      </c>
      <c r="M28" s="3">
        <v>1400</v>
      </c>
      <c r="N28" s="3" t="s">
        <v>35</v>
      </c>
      <c r="O28" s="3" t="str">
        <f t="shared" si="0"/>
        <v>YES</v>
      </c>
      <c r="P28" s="3" t="s">
        <v>75</v>
      </c>
      <c r="Q28" s="3" t="s">
        <v>61</v>
      </c>
    </row>
    <row r="29" spans="1:17" x14ac:dyDescent="0.25">
      <c r="A29" s="2">
        <v>45931</v>
      </c>
      <c r="B29" s="2" t="s">
        <v>499</v>
      </c>
      <c r="C29" s="2" t="s">
        <v>487</v>
      </c>
      <c r="D29" s="3" t="s">
        <v>38</v>
      </c>
      <c r="E29" s="3" t="s">
        <v>23</v>
      </c>
      <c r="F29" s="3" t="s">
        <v>24</v>
      </c>
      <c r="G29" s="3" t="s">
        <v>25</v>
      </c>
      <c r="H29" s="3">
        <v>5</v>
      </c>
      <c r="I29" s="4">
        <v>67.5</v>
      </c>
      <c r="J29" s="3">
        <v>150</v>
      </c>
      <c r="K29" s="3">
        <v>0</v>
      </c>
      <c r="L29" s="3">
        <v>750</v>
      </c>
      <c r="M29" s="3">
        <v>412.5</v>
      </c>
      <c r="N29" s="3" t="s">
        <v>19</v>
      </c>
      <c r="O29" s="3" t="str">
        <f t="shared" si="0"/>
        <v>NO</v>
      </c>
      <c r="P29" s="3" t="s">
        <v>76</v>
      </c>
      <c r="Q29" s="3" t="s">
        <v>45</v>
      </c>
    </row>
    <row r="30" spans="1:17" x14ac:dyDescent="0.25">
      <c r="A30" s="2">
        <v>45822</v>
      </c>
      <c r="B30" s="2" t="s">
        <v>497</v>
      </c>
      <c r="C30" s="2" t="s">
        <v>490</v>
      </c>
      <c r="D30" s="3" t="s">
        <v>32</v>
      </c>
      <c r="E30" s="3" t="s">
        <v>39</v>
      </c>
      <c r="F30" s="3" t="s">
        <v>17</v>
      </c>
      <c r="G30" s="3" t="s">
        <v>77</v>
      </c>
      <c r="H30" s="3">
        <v>10</v>
      </c>
      <c r="I30" s="4">
        <v>50</v>
      </c>
      <c r="J30" s="3">
        <v>250</v>
      </c>
      <c r="K30" s="3">
        <v>15</v>
      </c>
      <c r="L30" s="3">
        <v>2125</v>
      </c>
      <c r="M30" s="3">
        <v>1625</v>
      </c>
      <c r="N30" s="3" t="s">
        <v>13</v>
      </c>
      <c r="O30" s="3" t="str">
        <f t="shared" si="0"/>
        <v>YES</v>
      </c>
      <c r="P30" s="3" t="s">
        <v>78</v>
      </c>
      <c r="Q30" s="3" t="s">
        <v>41</v>
      </c>
    </row>
    <row r="31" spans="1:17" x14ac:dyDescent="0.25">
      <c r="A31" s="2">
        <v>45792</v>
      </c>
      <c r="B31" s="2" t="s">
        <v>492</v>
      </c>
      <c r="C31" s="2" t="s">
        <v>496</v>
      </c>
      <c r="D31" s="3" t="s">
        <v>27</v>
      </c>
      <c r="E31" s="3" t="s">
        <v>10</v>
      </c>
      <c r="F31" s="3" t="s">
        <v>33</v>
      </c>
      <c r="G31" s="3" t="s">
        <v>79</v>
      </c>
      <c r="H31" s="3">
        <v>2</v>
      </c>
      <c r="I31" s="4">
        <v>67.5</v>
      </c>
      <c r="J31" s="3">
        <v>150</v>
      </c>
      <c r="K31" s="3">
        <v>20</v>
      </c>
      <c r="L31" s="3">
        <v>240</v>
      </c>
      <c r="M31" s="3">
        <v>105</v>
      </c>
      <c r="N31" s="3" t="s">
        <v>19</v>
      </c>
      <c r="O31" s="3" t="str">
        <f t="shared" si="0"/>
        <v>YES</v>
      </c>
      <c r="P31" s="3" t="s">
        <v>80</v>
      </c>
      <c r="Q31" s="3" t="s">
        <v>15</v>
      </c>
    </row>
    <row r="32" spans="1:17" x14ac:dyDescent="0.25">
      <c r="A32" s="2">
        <v>45878</v>
      </c>
      <c r="B32" s="2" t="s">
        <v>495</v>
      </c>
      <c r="C32" s="2" t="s">
        <v>490</v>
      </c>
      <c r="D32" s="3" t="s">
        <v>9</v>
      </c>
      <c r="E32" s="3" t="s">
        <v>10</v>
      </c>
      <c r="F32" s="3" t="s">
        <v>24</v>
      </c>
      <c r="G32" s="3" t="s">
        <v>81</v>
      </c>
      <c r="H32" s="3">
        <v>3</v>
      </c>
      <c r="I32" s="4">
        <v>67.5</v>
      </c>
      <c r="J32" s="3">
        <v>150</v>
      </c>
      <c r="K32" s="3">
        <v>0</v>
      </c>
      <c r="L32" s="3">
        <v>450</v>
      </c>
      <c r="M32" s="3">
        <v>247.5</v>
      </c>
      <c r="N32" s="3" t="s">
        <v>35</v>
      </c>
      <c r="O32" s="3" t="str">
        <f t="shared" si="0"/>
        <v>NO</v>
      </c>
      <c r="P32" s="3" t="s">
        <v>82</v>
      </c>
      <c r="Q32" s="3" t="s">
        <v>37</v>
      </c>
    </row>
    <row r="33" spans="1:17" x14ac:dyDescent="0.25">
      <c r="A33" s="2">
        <v>45895</v>
      </c>
      <c r="B33" s="2" t="s">
        <v>495</v>
      </c>
      <c r="C33" s="2" t="s">
        <v>493</v>
      </c>
      <c r="D33" s="3" t="s">
        <v>27</v>
      </c>
      <c r="E33" s="3" t="s">
        <v>58</v>
      </c>
      <c r="F33" s="3" t="s">
        <v>29</v>
      </c>
      <c r="G33" s="3" t="s">
        <v>83</v>
      </c>
      <c r="H33" s="3">
        <v>1</v>
      </c>
      <c r="I33" s="4">
        <v>60</v>
      </c>
      <c r="J33" s="3">
        <v>250</v>
      </c>
      <c r="K33" s="3">
        <v>0</v>
      </c>
      <c r="L33" s="3">
        <v>250</v>
      </c>
      <c r="M33" s="3">
        <v>190</v>
      </c>
      <c r="N33" s="3" t="s">
        <v>13</v>
      </c>
      <c r="O33" s="3" t="str">
        <f t="shared" si="0"/>
        <v>NO</v>
      </c>
      <c r="P33" s="3" t="s">
        <v>84</v>
      </c>
      <c r="Q33" s="3" t="s">
        <v>45</v>
      </c>
    </row>
    <row r="34" spans="1:17" x14ac:dyDescent="0.25">
      <c r="A34" s="2">
        <v>45665</v>
      </c>
      <c r="B34" s="2" t="s">
        <v>489</v>
      </c>
      <c r="C34" s="2" t="s">
        <v>487</v>
      </c>
      <c r="D34" s="3" t="s">
        <v>22</v>
      </c>
      <c r="E34" s="3" t="s">
        <v>58</v>
      </c>
      <c r="F34" s="3" t="s">
        <v>33</v>
      </c>
      <c r="G34" s="3" t="s">
        <v>34</v>
      </c>
      <c r="H34" s="3">
        <v>2</v>
      </c>
      <c r="I34" s="4">
        <v>67.5</v>
      </c>
      <c r="J34" s="3">
        <v>150</v>
      </c>
      <c r="K34" s="3">
        <v>5</v>
      </c>
      <c r="L34" s="3">
        <v>285</v>
      </c>
      <c r="M34" s="3">
        <v>150</v>
      </c>
      <c r="N34" s="3" t="s">
        <v>13</v>
      </c>
      <c r="O34" s="3" t="str">
        <f t="shared" si="0"/>
        <v>YES</v>
      </c>
      <c r="P34" s="3" t="s">
        <v>85</v>
      </c>
      <c r="Q34" s="3" t="s">
        <v>37</v>
      </c>
    </row>
    <row r="35" spans="1:17" x14ac:dyDescent="0.25">
      <c r="A35" s="2">
        <v>45956</v>
      </c>
      <c r="B35" s="2" t="s">
        <v>499</v>
      </c>
      <c r="C35" s="2" t="s">
        <v>488</v>
      </c>
      <c r="D35" s="3" t="s">
        <v>32</v>
      </c>
      <c r="E35" s="3" t="s">
        <v>23</v>
      </c>
      <c r="F35" s="3" t="s">
        <v>33</v>
      </c>
      <c r="G35" s="3" t="s">
        <v>50</v>
      </c>
      <c r="H35" s="3">
        <v>1</v>
      </c>
      <c r="I35" s="4">
        <v>90</v>
      </c>
      <c r="J35" s="3">
        <v>150</v>
      </c>
      <c r="K35" s="3">
        <v>15</v>
      </c>
      <c r="L35" s="3">
        <v>127.5</v>
      </c>
      <c r="M35" s="3">
        <v>37.5</v>
      </c>
      <c r="N35" s="3" t="s">
        <v>19</v>
      </c>
      <c r="O35" s="3" t="str">
        <f t="shared" si="0"/>
        <v>YES</v>
      </c>
      <c r="P35" s="3" t="s">
        <v>86</v>
      </c>
      <c r="Q35" s="3" t="s">
        <v>21</v>
      </c>
    </row>
    <row r="36" spans="1:17" x14ac:dyDescent="0.25">
      <c r="A36" s="2">
        <v>45999</v>
      </c>
      <c r="B36" s="2" t="s">
        <v>498</v>
      </c>
      <c r="C36" s="2" t="s">
        <v>491</v>
      </c>
      <c r="D36" s="3" t="s">
        <v>27</v>
      </c>
      <c r="E36" s="3" t="s">
        <v>70</v>
      </c>
      <c r="F36" s="3" t="s">
        <v>29</v>
      </c>
      <c r="G36" s="3" t="s">
        <v>30</v>
      </c>
      <c r="H36" s="3">
        <v>1</v>
      </c>
      <c r="I36" s="4">
        <v>40</v>
      </c>
      <c r="J36" s="3">
        <v>200</v>
      </c>
      <c r="K36" s="3">
        <v>5</v>
      </c>
      <c r="L36" s="3">
        <v>190</v>
      </c>
      <c r="M36" s="3">
        <v>150</v>
      </c>
      <c r="N36" s="3" t="s">
        <v>13</v>
      </c>
      <c r="O36" s="3" t="str">
        <f t="shared" si="0"/>
        <v>YES</v>
      </c>
      <c r="P36" s="3" t="s">
        <v>87</v>
      </c>
      <c r="Q36" s="3" t="s">
        <v>15</v>
      </c>
    </row>
    <row r="37" spans="1:17" x14ac:dyDescent="0.25">
      <c r="A37" s="2">
        <v>45995</v>
      </c>
      <c r="B37" s="2" t="s">
        <v>498</v>
      </c>
      <c r="C37" s="2" t="s">
        <v>496</v>
      </c>
      <c r="D37" s="3" t="s">
        <v>32</v>
      </c>
      <c r="E37" s="3" t="s">
        <v>58</v>
      </c>
      <c r="F37" s="3" t="s">
        <v>33</v>
      </c>
      <c r="G37" s="3" t="s">
        <v>88</v>
      </c>
      <c r="H37" s="3">
        <v>10</v>
      </c>
      <c r="I37" s="4">
        <v>67.5</v>
      </c>
      <c r="J37" s="3">
        <v>100</v>
      </c>
      <c r="K37" s="3">
        <v>20</v>
      </c>
      <c r="L37" s="3">
        <v>800</v>
      </c>
      <c r="M37" s="3">
        <v>125</v>
      </c>
      <c r="N37" s="3" t="s">
        <v>35</v>
      </c>
      <c r="O37" s="3" t="str">
        <f t="shared" si="0"/>
        <v>YES</v>
      </c>
      <c r="P37" s="3" t="s">
        <v>89</v>
      </c>
      <c r="Q37" s="3" t="s">
        <v>45</v>
      </c>
    </row>
    <row r="38" spans="1:17" x14ac:dyDescent="0.25">
      <c r="A38" s="2">
        <v>45726</v>
      </c>
      <c r="B38" s="2" t="s">
        <v>494</v>
      </c>
      <c r="C38" s="2" t="s">
        <v>491</v>
      </c>
      <c r="D38" s="3" t="s">
        <v>22</v>
      </c>
      <c r="E38" s="3" t="s">
        <v>10</v>
      </c>
      <c r="F38" s="3" t="s">
        <v>29</v>
      </c>
      <c r="G38" s="3" t="s">
        <v>47</v>
      </c>
      <c r="H38" s="3">
        <v>10</v>
      </c>
      <c r="I38" s="4">
        <v>60</v>
      </c>
      <c r="J38" s="3">
        <v>150</v>
      </c>
      <c r="K38" s="3">
        <v>0</v>
      </c>
      <c r="L38" s="3">
        <v>1500</v>
      </c>
      <c r="M38" s="3">
        <v>900</v>
      </c>
      <c r="N38" s="3" t="s">
        <v>13</v>
      </c>
      <c r="O38" s="3" t="str">
        <f t="shared" si="0"/>
        <v>NO</v>
      </c>
      <c r="P38" s="3" t="s">
        <v>90</v>
      </c>
      <c r="Q38" s="3" t="s">
        <v>45</v>
      </c>
    </row>
    <row r="39" spans="1:17" x14ac:dyDescent="0.25">
      <c r="A39" s="2">
        <v>45721</v>
      </c>
      <c r="B39" s="2" t="s">
        <v>494</v>
      </c>
      <c r="C39" s="2" t="s">
        <v>487</v>
      </c>
      <c r="D39" s="3" t="s">
        <v>9</v>
      </c>
      <c r="E39" s="3" t="s">
        <v>23</v>
      </c>
      <c r="F39" s="3" t="s">
        <v>17</v>
      </c>
      <c r="G39" s="3" t="s">
        <v>68</v>
      </c>
      <c r="H39" s="3">
        <v>2</v>
      </c>
      <c r="I39" s="4">
        <v>30</v>
      </c>
      <c r="J39" s="3">
        <v>150</v>
      </c>
      <c r="K39" s="3">
        <v>0</v>
      </c>
      <c r="L39" s="3">
        <v>300</v>
      </c>
      <c r="M39" s="3">
        <v>240</v>
      </c>
      <c r="N39" s="3" t="s">
        <v>35</v>
      </c>
      <c r="O39" s="3" t="str">
        <f t="shared" si="0"/>
        <v>NO</v>
      </c>
      <c r="P39" s="3" t="s">
        <v>91</v>
      </c>
      <c r="Q39" s="3" t="s">
        <v>41</v>
      </c>
    </row>
    <row r="40" spans="1:17" x14ac:dyDescent="0.25">
      <c r="A40" s="2">
        <v>45852</v>
      </c>
      <c r="B40" s="2" t="s">
        <v>501</v>
      </c>
      <c r="C40" s="2" t="s">
        <v>491</v>
      </c>
      <c r="D40" s="3" t="s">
        <v>9</v>
      </c>
      <c r="E40" s="3" t="s">
        <v>10</v>
      </c>
      <c r="F40" s="3" t="s">
        <v>29</v>
      </c>
      <c r="G40" s="3" t="s">
        <v>30</v>
      </c>
      <c r="H40" s="3">
        <v>1</v>
      </c>
      <c r="I40" s="4">
        <v>40</v>
      </c>
      <c r="J40" s="3">
        <v>250</v>
      </c>
      <c r="K40" s="3">
        <v>10</v>
      </c>
      <c r="L40" s="3">
        <v>225</v>
      </c>
      <c r="M40" s="3">
        <v>185</v>
      </c>
      <c r="N40" s="3" t="s">
        <v>35</v>
      </c>
      <c r="O40" s="3" t="str">
        <f t="shared" si="0"/>
        <v>YES</v>
      </c>
      <c r="P40" s="3" t="s">
        <v>92</v>
      </c>
      <c r="Q40" s="3" t="s">
        <v>21</v>
      </c>
    </row>
    <row r="41" spans="1:17" x14ac:dyDescent="0.25">
      <c r="A41" s="2">
        <v>45665</v>
      </c>
      <c r="B41" s="2" t="s">
        <v>489</v>
      </c>
      <c r="C41" s="2" t="s">
        <v>487</v>
      </c>
      <c r="D41" s="3" t="s">
        <v>32</v>
      </c>
      <c r="E41" s="3" t="s">
        <v>28</v>
      </c>
      <c r="F41" s="3" t="s">
        <v>33</v>
      </c>
      <c r="G41" s="3" t="s">
        <v>34</v>
      </c>
      <c r="H41" s="3">
        <v>2</v>
      </c>
      <c r="I41" s="4">
        <v>112.5</v>
      </c>
      <c r="J41" s="3">
        <v>100</v>
      </c>
      <c r="K41" s="3">
        <v>20</v>
      </c>
      <c r="L41" s="3">
        <v>160</v>
      </c>
      <c r="M41" s="3">
        <v>-65</v>
      </c>
      <c r="N41" s="3" t="s">
        <v>35</v>
      </c>
      <c r="O41" s="3" t="str">
        <f t="shared" si="0"/>
        <v>YES</v>
      </c>
      <c r="P41" s="3" t="s">
        <v>36</v>
      </c>
      <c r="Q41" s="3" t="s">
        <v>37</v>
      </c>
    </row>
    <row r="42" spans="1:17" x14ac:dyDescent="0.25">
      <c r="A42" s="2">
        <v>45861</v>
      </c>
      <c r="B42" s="2" t="s">
        <v>501</v>
      </c>
      <c r="C42" s="2" t="s">
        <v>487</v>
      </c>
      <c r="D42" s="3" t="s">
        <v>32</v>
      </c>
      <c r="E42" s="3" t="s">
        <v>39</v>
      </c>
      <c r="F42" s="3" t="s">
        <v>11</v>
      </c>
      <c r="G42" s="3" t="s">
        <v>59</v>
      </c>
      <c r="H42" s="3">
        <v>10</v>
      </c>
      <c r="I42" s="4">
        <v>75</v>
      </c>
      <c r="J42" s="3">
        <v>250</v>
      </c>
      <c r="K42" s="3">
        <v>5</v>
      </c>
      <c r="L42" s="3">
        <v>2375</v>
      </c>
      <c r="M42" s="3">
        <v>1625</v>
      </c>
      <c r="N42" s="3" t="s">
        <v>13</v>
      </c>
      <c r="O42" s="3" t="str">
        <f t="shared" si="0"/>
        <v>YES</v>
      </c>
      <c r="P42" s="3" t="s">
        <v>93</v>
      </c>
      <c r="Q42" s="3" t="s">
        <v>45</v>
      </c>
    </row>
    <row r="43" spans="1:17" x14ac:dyDescent="0.25">
      <c r="A43" s="2">
        <v>45795</v>
      </c>
      <c r="B43" s="2" t="s">
        <v>492</v>
      </c>
      <c r="C43" s="2" t="s">
        <v>488</v>
      </c>
      <c r="D43" s="3" t="s">
        <v>9</v>
      </c>
      <c r="E43" s="3" t="s">
        <v>16</v>
      </c>
      <c r="F43" s="3" t="s">
        <v>29</v>
      </c>
      <c r="G43" s="3" t="s">
        <v>47</v>
      </c>
      <c r="H43" s="3">
        <v>10</v>
      </c>
      <c r="I43" s="4">
        <v>100</v>
      </c>
      <c r="J43" s="3">
        <v>250</v>
      </c>
      <c r="K43" s="3">
        <v>0</v>
      </c>
      <c r="L43" s="3">
        <v>2500</v>
      </c>
      <c r="M43" s="3">
        <v>1500</v>
      </c>
      <c r="N43" s="3" t="s">
        <v>35</v>
      </c>
      <c r="O43" s="3" t="str">
        <f t="shared" si="0"/>
        <v>NO</v>
      </c>
      <c r="P43" s="3" t="s">
        <v>94</v>
      </c>
      <c r="Q43" s="3" t="s">
        <v>45</v>
      </c>
    </row>
    <row r="44" spans="1:17" x14ac:dyDescent="0.25">
      <c r="A44" s="2">
        <v>45979</v>
      </c>
      <c r="B44" s="2" t="s">
        <v>485</v>
      </c>
      <c r="C44" s="2" t="s">
        <v>493</v>
      </c>
      <c r="D44" s="3" t="s">
        <v>27</v>
      </c>
      <c r="E44" s="3" t="s">
        <v>58</v>
      </c>
      <c r="F44" s="3" t="s">
        <v>24</v>
      </c>
      <c r="G44" s="3" t="s">
        <v>71</v>
      </c>
      <c r="H44" s="3">
        <v>2</v>
      </c>
      <c r="I44" s="4">
        <v>112.5</v>
      </c>
      <c r="J44" s="3">
        <v>250</v>
      </c>
      <c r="K44" s="3">
        <v>0</v>
      </c>
      <c r="L44" s="3">
        <v>500</v>
      </c>
      <c r="M44" s="3">
        <v>275</v>
      </c>
      <c r="N44" s="3" t="s">
        <v>35</v>
      </c>
      <c r="O44" s="3" t="str">
        <f t="shared" si="0"/>
        <v>NO</v>
      </c>
      <c r="P44" s="3" t="s">
        <v>95</v>
      </c>
      <c r="Q44" s="3" t="s">
        <v>15</v>
      </c>
    </row>
    <row r="45" spans="1:17" x14ac:dyDescent="0.25">
      <c r="A45" s="2">
        <v>45841</v>
      </c>
      <c r="B45" s="2" t="s">
        <v>501</v>
      </c>
      <c r="C45" s="2" t="s">
        <v>496</v>
      </c>
      <c r="D45" s="3" t="s">
        <v>38</v>
      </c>
      <c r="E45" s="3" t="s">
        <v>39</v>
      </c>
      <c r="F45" s="3" t="s">
        <v>11</v>
      </c>
      <c r="G45" s="3" t="s">
        <v>12</v>
      </c>
      <c r="H45" s="3">
        <v>5</v>
      </c>
      <c r="I45" s="4">
        <v>60</v>
      </c>
      <c r="J45" s="3">
        <v>200</v>
      </c>
      <c r="K45" s="3">
        <v>0</v>
      </c>
      <c r="L45" s="3">
        <v>1000</v>
      </c>
      <c r="M45" s="3">
        <v>700</v>
      </c>
      <c r="N45" s="3" t="s">
        <v>19</v>
      </c>
      <c r="O45" s="3" t="str">
        <f t="shared" si="0"/>
        <v>NO</v>
      </c>
      <c r="P45" s="3" t="s">
        <v>96</v>
      </c>
      <c r="Q45" s="3" t="s">
        <v>21</v>
      </c>
    </row>
    <row r="46" spans="1:17" x14ac:dyDescent="0.25">
      <c r="A46" s="2">
        <v>45888</v>
      </c>
      <c r="B46" s="2" t="s">
        <v>495</v>
      </c>
      <c r="C46" s="2" t="s">
        <v>493</v>
      </c>
      <c r="D46" s="3" t="s">
        <v>22</v>
      </c>
      <c r="E46" s="3" t="s">
        <v>28</v>
      </c>
      <c r="F46" s="3" t="s">
        <v>17</v>
      </c>
      <c r="G46" s="3" t="s">
        <v>18</v>
      </c>
      <c r="H46" s="3">
        <v>10</v>
      </c>
      <c r="I46" s="4">
        <v>10</v>
      </c>
      <c r="J46" s="3">
        <v>50</v>
      </c>
      <c r="K46" s="3">
        <v>5</v>
      </c>
      <c r="L46" s="3">
        <v>475</v>
      </c>
      <c r="M46" s="3">
        <v>375</v>
      </c>
      <c r="N46" s="3" t="s">
        <v>13</v>
      </c>
      <c r="O46" s="3" t="str">
        <f t="shared" si="0"/>
        <v>YES</v>
      </c>
      <c r="P46" s="3" t="s">
        <v>97</v>
      </c>
      <c r="Q46" s="3" t="s">
        <v>45</v>
      </c>
    </row>
    <row r="47" spans="1:17" x14ac:dyDescent="0.25">
      <c r="A47" s="2">
        <v>45978</v>
      </c>
      <c r="B47" s="2" t="s">
        <v>485</v>
      </c>
      <c r="C47" s="2" t="s">
        <v>491</v>
      </c>
      <c r="D47" s="3" t="s">
        <v>22</v>
      </c>
      <c r="E47" s="3" t="s">
        <v>10</v>
      </c>
      <c r="F47" s="3" t="s">
        <v>17</v>
      </c>
      <c r="G47" s="3" t="s">
        <v>68</v>
      </c>
      <c r="H47" s="3">
        <v>5</v>
      </c>
      <c r="I47" s="4">
        <v>40</v>
      </c>
      <c r="J47" s="3">
        <v>200</v>
      </c>
      <c r="K47" s="3">
        <v>15</v>
      </c>
      <c r="L47" s="3">
        <v>850</v>
      </c>
      <c r="M47" s="3">
        <v>650</v>
      </c>
      <c r="N47" s="3" t="s">
        <v>13</v>
      </c>
      <c r="O47" s="3" t="str">
        <f t="shared" si="0"/>
        <v>YES</v>
      </c>
      <c r="P47" s="3" t="s">
        <v>98</v>
      </c>
      <c r="Q47" s="3" t="s">
        <v>37</v>
      </c>
    </row>
    <row r="48" spans="1:17" x14ac:dyDescent="0.25">
      <c r="A48" s="2">
        <v>45993</v>
      </c>
      <c r="B48" s="2" t="s">
        <v>498</v>
      </c>
      <c r="C48" s="2" t="s">
        <v>493</v>
      </c>
      <c r="D48" s="3" t="s">
        <v>38</v>
      </c>
      <c r="E48" s="3" t="s">
        <v>28</v>
      </c>
      <c r="F48" s="3" t="s">
        <v>24</v>
      </c>
      <c r="G48" s="3" t="s">
        <v>25</v>
      </c>
      <c r="H48" s="3">
        <v>10</v>
      </c>
      <c r="I48" s="4">
        <v>45</v>
      </c>
      <c r="J48" s="3">
        <v>100</v>
      </c>
      <c r="K48" s="3">
        <v>0</v>
      </c>
      <c r="L48" s="3">
        <v>1000</v>
      </c>
      <c r="M48" s="3">
        <v>550</v>
      </c>
      <c r="N48" s="3" t="s">
        <v>13</v>
      </c>
      <c r="O48" s="3" t="str">
        <f t="shared" si="0"/>
        <v>NO</v>
      </c>
      <c r="P48" s="3" t="s">
        <v>99</v>
      </c>
      <c r="Q48" s="3" t="s">
        <v>15</v>
      </c>
    </row>
    <row r="49" spans="1:17" x14ac:dyDescent="0.25">
      <c r="A49" s="2">
        <v>45903</v>
      </c>
      <c r="B49" s="2" t="s">
        <v>483</v>
      </c>
      <c r="C49" s="2" t="s">
        <v>487</v>
      </c>
      <c r="D49" s="3" t="s">
        <v>22</v>
      </c>
      <c r="E49" s="3" t="s">
        <v>70</v>
      </c>
      <c r="F49" s="3" t="s">
        <v>24</v>
      </c>
      <c r="G49" s="3" t="s">
        <v>42</v>
      </c>
      <c r="H49" s="3">
        <v>1</v>
      </c>
      <c r="I49" s="4">
        <v>67.5</v>
      </c>
      <c r="J49" s="3">
        <v>150</v>
      </c>
      <c r="K49" s="3">
        <v>0</v>
      </c>
      <c r="L49" s="3">
        <v>150</v>
      </c>
      <c r="M49" s="3">
        <v>82.5</v>
      </c>
      <c r="N49" s="3" t="s">
        <v>19</v>
      </c>
      <c r="O49" s="3" t="str">
        <f t="shared" si="0"/>
        <v>NO</v>
      </c>
      <c r="P49" s="3" t="s">
        <v>100</v>
      </c>
      <c r="Q49" s="3" t="s">
        <v>15</v>
      </c>
    </row>
    <row r="50" spans="1:17" x14ac:dyDescent="0.25">
      <c r="A50" s="2">
        <v>45767</v>
      </c>
      <c r="B50" s="2" t="s">
        <v>486</v>
      </c>
      <c r="C50" s="2" t="s">
        <v>488</v>
      </c>
      <c r="D50" s="3" t="s">
        <v>32</v>
      </c>
      <c r="E50" s="3" t="s">
        <v>70</v>
      </c>
      <c r="F50" s="3" t="s">
        <v>33</v>
      </c>
      <c r="G50" s="3" t="s">
        <v>50</v>
      </c>
      <c r="H50" s="3">
        <v>1</v>
      </c>
      <c r="I50" s="4">
        <v>22.5</v>
      </c>
      <c r="J50" s="3">
        <v>200</v>
      </c>
      <c r="K50" s="3">
        <v>10</v>
      </c>
      <c r="L50" s="3">
        <v>180</v>
      </c>
      <c r="M50" s="3">
        <v>157.5</v>
      </c>
      <c r="N50" s="3" t="s">
        <v>35</v>
      </c>
      <c r="O50" s="3" t="str">
        <f t="shared" si="0"/>
        <v>YES</v>
      </c>
      <c r="P50" s="3" t="s">
        <v>101</v>
      </c>
      <c r="Q50" s="3" t="s">
        <v>21</v>
      </c>
    </row>
    <row r="51" spans="1:17" x14ac:dyDescent="0.25">
      <c r="A51" s="2">
        <v>45796</v>
      </c>
      <c r="B51" s="2" t="s">
        <v>492</v>
      </c>
      <c r="C51" s="2" t="s">
        <v>491</v>
      </c>
      <c r="D51" s="3" t="s">
        <v>9</v>
      </c>
      <c r="E51" s="3" t="s">
        <v>70</v>
      </c>
      <c r="F51" s="3" t="s">
        <v>33</v>
      </c>
      <c r="G51" s="3" t="s">
        <v>63</v>
      </c>
      <c r="H51" s="3">
        <v>2</v>
      </c>
      <c r="I51" s="4">
        <v>90</v>
      </c>
      <c r="J51" s="3">
        <v>50</v>
      </c>
      <c r="K51" s="3">
        <v>5</v>
      </c>
      <c r="L51" s="3">
        <v>95</v>
      </c>
      <c r="M51" s="3">
        <v>-85</v>
      </c>
      <c r="N51" s="3" t="s">
        <v>13</v>
      </c>
      <c r="O51" s="3" t="str">
        <f t="shared" si="0"/>
        <v>YES</v>
      </c>
      <c r="P51" s="3" t="s">
        <v>102</v>
      </c>
      <c r="Q51" s="3" t="s">
        <v>15</v>
      </c>
    </row>
    <row r="52" spans="1:17" x14ac:dyDescent="0.25">
      <c r="A52" s="2">
        <v>45720</v>
      </c>
      <c r="B52" s="2" t="s">
        <v>494</v>
      </c>
      <c r="C52" s="2" t="s">
        <v>493</v>
      </c>
      <c r="D52" s="3" t="s">
        <v>9</v>
      </c>
      <c r="E52" s="3" t="s">
        <v>70</v>
      </c>
      <c r="F52" s="3" t="s">
        <v>11</v>
      </c>
      <c r="G52" s="3" t="s">
        <v>12</v>
      </c>
      <c r="H52" s="3">
        <v>2</v>
      </c>
      <c r="I52" s="4">
        <v>60</v>
      </c>
      <c r="J52" s="3">
        <v>200</v>
      </c>
      <c r="K52" s="3">
        <v>0</v>
      </c>
      <c r="L52" s="3">
        <v>400</v>
      </c>
      <c r="M52" s="3">
        <v>280</v>
      </c>
      <c r="N52" s="3" t="s">
        <v>35</v>
      </c>
      <c r="O52" s="3" t="str">
        <f t="shared" si="0"/>
        <v>NO</v>
      </c>
      <c r="P52" s="3" t="s">
        <v>103</v>
      </c>
      <c r="Q52" s="3" t="s">
        <v>15</v>
      </c>
    </row>
    <row r="53" spans="1:17" x14ac:dyDescent="0.25">
      <c r="A53" s="2">
        <v>45939</v>
      </c>
      <c r="B53" s="2" t="s">
        <v>499</v>
      </c>
      <c r="C53" s="2" t="s">
        <v>496</v>
      </c>
      <c r="D53" s="3" t="s">
        <v>32</v>
      </c>
      <c r="E53" s="3" t="s">
        <v>70</v>
      </c>
      <c r="F53" s="3" t="s">
        <v>24</v>
      </c>
      <c r="G53" s="3" t="s">
        <v>25</v>
      </c>
      <c r="H53" s="3">
        <v>3</v>
      </c>
      <c r="I53" s="4">
        <v>45</v>
      </c>
      <c r="J53" s="3">
        <v>100</v>
      </c>
      <c r="K53" s="3">
        <v>10</v>
      </c>
      <c r="L53" s="3">
        <v>270</v>
      </c>
      <c r="M53" s="3">
        <v>135</v>
      </c>
      <c r="N53" s="3" t="s">
        <v>35</v>
      </c>
      <c r="O53" s="3" t="str">
        <f t="shared" si="0"/>
        <v>YES</v>
      </c>
      <c r="P53" s="3" t="s">
        <v>104</v>
      </c>
      <c r="Q53" s="3" t="s">
        <v>15</v>
      </c>
    </row>
    <row r="54" spans="1:17" x14ac:dyDescent="0.25">
      <c r="A54" s="2">
        <v>45697</v>
      </c>
      <c r="B54" s="2" t="s">
        <v>500</v>
      </c>
      <c r="C54" s="2" t="s">
        <v>488</v>
      </c>
      <c r="D54" s="3" t="s">
        <v>27</v>
      </c>
      <c r="E54" s="3" t="s">
        <v>28</v>
      </c>
      <c r="F54" s="3" t="s">
        <v>11</v>
      </c>
      <c r="G54" s="3" t="s">
        <v>105</v>
      </c>
      <c r="H54" s="3">
        <v>3</v>
      </c>
      <c r="I54" s="4">
        <v>30</v>
      </c>
      <c r="J54" s="3">
        <v>100</v>
      </c>
      <c r="K54" s="3">
        <v>20</v>
      </c>
      <c r="L54" s="3">
        <v>240</v>
      </c>
      <c r="M54" s="3">
        <v>150</v>
      </c>
      <c r="N54" s="3" t="s">
        <v>19</v>
      </c>
      <c r="O54" s="3" t="str">
        <f t="shared" si="0"/>
        <v>YES</v>
      </c>
      <c r="P54" s="3" t="s">
        <v>106</v>
      </c>
      <c r="Q54" s="3" t="s">
        <v>61</v>
      </c>
    </row>
    <row r="55" spans="1:17" x14ac:dyDescent="0.25">
      <c r="A55" s="2">
        <v>45658</v>
      </c>
      <c r="B55" s="2" t="s">
        <v>489</v>
      </c>
      <c r="C55" s="2" t="s">
        <v>487</v>
      </c>
      <c r="D55" s="3" t="s">
        <v>38</v>
      </c>
      <c r="E55" s="3" t="s">
        <v>16</v>
      </c>
      <c r="F55" s="3" t="s">
        <v>17</v>
      </c>
      <c r="G55" s="3" t="s">
        <v>107</v>
      </c>
      <c r="H55" s="3">
        <v>5</v>
      </c>
      <c r="I55" s="4">
        <v>40</v>
      </c>
      <c r="J55" s="3">
        <v>200</v>
      </c>
      <c r="K55" s="3">
        <v>10</v>
      </c>
      <c r="L55" s="3">
        <v>900</v>
      </c>
      <c r="M55" s="3">
        <v>700</v>
      </c>
      <c r="N55" s="3" t="s">
        <v>19</v>
      </c>
      <c r="O55" s="3" t="str">
        <f t="shared" si="0"/>
        <v>YES</v>
      </c>
      <c r="P55" s="3" t="s">
        <v>108</v>
      </c>
      <c r="Q55" s="3" t="s">
        <v>15</v>
      </c>
    </row>
    <row r="56" spans="1:17" x14ac:dyDescent="0.25">
      <c r="A56" s="2">
        <v>45791</v>
      </c>
      <c r="B56" s="2" t="s">
        <v>492</v>
      </c>
      <c r="C56" s="2" t="s">
        <v>487</v>
      </c>
      <c r="D56" s="3" t="s">
        <v>27</v>
      </c>
      <c r="E56" s="3" t="s">
        <v>39</v>
      </c>
      <c r="F56" s="3" t="s">
        <v>24</v>
      </c>
      <c r="G56" s="3" t="s">
        <v>25</v>
      </c>
      <c r="H56" s="3">
        <v>5</v>
      </c>
      <c r="I56" s="4">
        <v>67.5</v>
      </c>
      <c r="J56" s="3">
        <v>150</v>
      </c>
      <c r="K56" s="3">
        <v>0</v>
      </c>
      <c r="L56" s="3">
        <v>750</v>
      </c>
      <c r="M56" s="3">
        <v>412.5</v>
      </c>
      <c r="N56" s="3" t="s">
        <v>19</v>
      </c>
      <c r="O56" s="3" t="str">
        <f t="shared" si="0"/>
        <v>NO</v>
      </c>
      <c r="P56" s="3" t="s">
        <v>109</v>
      </c>
      <c r="Q56" s="3" t="s">
        <v>15</v>
      </c>
    </row>
    <row r="57" spans="1:17" x14ac:dyDescent="0.25">
      <c r="A57" s="2">
        <v>45708</v>
      </c>
      <c r="B57" s="2" t="s">
        <v>500</v>
      </c>
      <c r="C57" s="2" t="s">
        <v>496</v>
      </c>
      <c r="D57" s="3" t="s">
        <v>32</v>
      </c>
      <c r="E57" s="3" t="s">
        <v>28</v>
      </c>
      <c r="F57" s="3" t="s">
        <v>29</v>
      </c>
      <c r="G57" s="3" t="s">
        <v>54</v>
      </c>
      <c r="H57" s="3">
        <v>3</v>
      </c>
      <c r="I57" s="4">
        <v>20</v>
      </c>
      <c r="J57" s="3">
        <v>100</v>
      </c>
      <c r="K57" s="3">
        <v>20</v>
      </c>
      <c r="L57" s="3">
        <v>240</v>
      </c>
      <c r="M57" s="3">
        <v>180</v>
      </c>
      <c r="N57" s="3" t="s">
        <v>19</v>
      </c>
      <c r="O57" s="3" t="str">
        <f t="shared" si="0"/>
        <v>YES</v>
      </c>
      <c r="P57" s="3" t="s">
        <v>110</v>
      </c>
      <c r="Q57" s="3" t="s">
        <v>45</v>
      </c>
    </row>
    <row r="58" spans="1:17" x14ac:dyDescent="0.25">
      <c r="A58" s="2">
        <v>45908</v>
      </c>
      <c r="B58" s="2" t="s">
        <v>483</v>
      </c>
      <c r="C58" s="2" t="s">
        <v>491</v>
      </c>
      <c r="D58" s="3" t="s">
        <v>32</v>
      </c>
      <c r="E58" s="3" t="s">
        <v>16</v>
      </c>
      <c r="F58" s="3" t="s">
        <v>29</v>
      </c>
      <c r="G58" s="3" t="s">
        <v>47</v>
      </c>
      <c r="H58" s="3">
        <v>2</v>
      </c>
      <c r="I58" s="4">
        <v>40</v>
      </c>
      <c r="J58" s="3">
        <v>50</v>
      </c>
      <c r="K58" s="3">
        <v>0</v>
      </c>
      <c r="L58" s="3">
        <v>100</v>
      </c>
      <c r="M58" s="3">
        <v>20</v>
      </c>
      <c r="N58" s="3" t="s">
        <v>13</v>
      </c>
      <c r="O58" s="3" t="str">
        <f t="shared" si="0"/>
        <v>NO</v>
      </c>
      <c r="P58" s="3" t="s">
        <v>111</v>
      </c>
      <c r="Q58" s="3" t="s">
        <v>21</v>
      </c>
    </row>
    <row r="59" spans="1:17" x14ac:dyDescent="0.25">
      <c r="A59" s="2">
        <v>45840</v>
      </c>
      <c r="B59" s="2" t="s">
        <v>501</v>
      </c>
      <c r="C59" s="2" t="s">
        <v>487</v>
      </c>
      <c r="D59" s="3" t="s">
        <v>9</v>
      </c>
      <c r="E59" s="3" t="s">
        <v>58</v>
      </c>
      <c r="F59" s="3" t="s">
        <v>24</v>
      </c>
      <c r="G59" s="3" t="s">
        <v>71</v>
      </c>
      <c r="H59" s="3">
        <v>1</v>
      </c>
      <c r="I59" s="4">
        <v>45</v>
      </c>
      <c r="J59" s="3">
        <v>100</v>
      </c>
      <c r="K59" s="3">
        <v>10</v>
      </c>
      <c r="L59" s="3">
        <v>90</v>
      </c>
      <c r="M59" s="3">
        <v>45</v>
      </c>
      <c r="N59" s="3" t="s">
        <v>13</v>
      </c>
      <c r="O59" s="3" t="str">
        <f t="shared" si="0"/>
        <v>YES</v>
      </c>
      <c r="P59" s="3" t="s">
        <v>109</v>
      </c>
      <c r="Q59" s="3" t="s">
        <v>45</v>
      </c>
    </row>
    <row r="60" spans="1:17" x14ac:dyDescent="0.25">
      <c r="A60" s="2">
        <v>45881</v>
      </c>
      <c r="B60" s="2" t="s">
        <v>495</v>
      </c>
      <c r="C60" s="2" t="s">
        <v>493</v>
      </c>
      <c r="D60" s="3" t="s">
        <v>27</v>
      </c>
      <c r="E60" s="3" t="s">
        <v>23</v>
      </c>
      <c r="F60" s="3" t="s">
        <v>11</v>
      </c>
      <c r="G60" s="3" t="s">
        <v>105</v>
      </c>
      <c r="H60" s="3">
        <v>3</v>
      </c>
      <c r="I60" s="4">
        <v>75</v>
      </c>
      <c r="J60" s="3">
        <v>250</v>
      </c>
      <c r="K60" s="3">
        <v>10</v>
      </c>
      <c r="L60" s="3">
        <v>675</v>
      </c>
      <c r="M60" s="3">
        <v>450</v>
      </c>
      <c r="N60" s="3" t="s">
        <v>35</v>
      </c>
      <c r="O60" s="3" t="str">
        <f t="shared" si="0"/>
        <v>YES</v>
      </c>
      <c r="P60" s="3" t="s">
        <v>112</v>
      </c>
      <c r="Q60" s="3" t="s">
        <v>37</v>
      </c>
    </row>
    <row r="61" spans="1:17" x14ac:dyDescent="0.25">
      <c r="A61" s="2">
        <v>45840</v>
      </c>
      <c r="B61" s="2" t="s">
        <v>501</v>
      </c>
      <c r="C61" s="2" t="s">
        <v>487</v>
      </c>
      <c r="D61" s="3" t="s">
        <v>9</v>
      </c>
      <c r="E61" s="3" t="s">
        <v>58</v>
      </c>
      <c r="F61" s="3" t="s">
        <v>24</v>
      </c>
      <c r="G61" s="3" t="s">
        <v>71</v>
      </c>
      <c r="H61" s="3">
        <v>1</v>
      </c>
      <c r="I61" s="4">
        <v>45</v>
      </c>
      <c r="J61" s="3">
        <v>100</v>
      </c>
      <c r="K61" s="3">
        <v>10</v>
      </c>
      <c r="L61" s="3">
        <v>90</v>
      </c>
      <c r="M61" s="3">
        <v>45</v>
      </c>
      <c r="N61" s="3" t="s">
        <v>13</v>
      </c>
      <c r="O61" s="3" t="str">
        <f t="shared" si="0"/>
        <v>YES</v>
      </c>
      <c r="P61" s="3" t="s">
        <v>109</v>
      </c>
      <c r="Q61" s="3" t="s">
        <v>45</v>
      </c>
    </row>
    <row r="62" spans="1:17" x14ac:dyDescent="0.25">
      <c r="A62" s="2">
        <v>45953</v>
      </c>
      <c r="B62" s="2" t="s">
        <v>499</v>
      </c>
      <c r="C62" s="2" t="s">
        <v>496</v>
      </c>
      <c r="D62" s="3" t="s">
        <v>27</v>
      </c>
      <c r="E62" s="3" t="s">
        <v>23</v>
      </c>
      <c r="F62" s="3" t="s">
        <v>29</v>
      </c>
      <c r="G62" s="3" t="s">
        <v>83</v>
      </c>
      <c r="H62" s="3">
        <v>2</v>
      </c>
      <c r="I62" s="4">
        <v>60</v>
      </c>
      <c r="J62" s="3">
        <v>50</v>
      </c>
      <c r="K62" s="3">
        <v>5</v>
      </c>
      <c r="L62" s="3">
        <v>95</v>
      </c>
      <c r="M62" s="3">
        <v>-25</v>
      </c>
      <c r="N62" s="3" t="s">
        <v>13</v>
      </c>
      <c r="O62" s="3" t="str">
        <f t="shared" si="0"/>
        <v>YES</v>
      </c>
      <c r="P62" s="3" t="s">
        <v>113</v>
      </c>
      <c r="Q62" s="3" t="s">
        <v>21</v>
      </c>
    </row>
    <row r="63" spans="1:17" x14ac:dyDescent="0.25">
      <c r="A63" s="2">
        <v>45939</v>
      </c>
      <c r="B63" s="2" t="s">
        <v>499</v>
      </c>
      <c r="C63" s="2" t="s">
        <v>496</v>
      </c>
      <c r="D63" s="3" t="s">
        <v>9</v>
      </c>
      <c r="E63" s="3" t="s">
        <v>10</v>
      </c>
      <c r="F63" s="3" t="s">
        <v>33</v>
      </c>
      <c r="G63" s="3" t="s">
        <v>50</v>
      </c>
      <c r="H63" s="3">
        <v>1</v>
      </c>
      <c r="I63" s="4">
        <v>112.5</v>
      </c>
      <c r="J63" s="3">
        <v>150</v>
      </c>
      <c r="K63" s="3">
        <v>10</v>
      </c>
      <c r="L63" s="3">
        <v>135</v>
      </c>
      <c r="M63" s="3">
        <v>22.5</v>
      </c>
      <c r="N63" s="3" t="s">
        <v>19</v>
      </c>
      <c r="O63" s="3" t="str">
        <f t="shared" si="0"/>
        <v>YES</v>
      </c>
      <c r="P63" s="3" t="s">
        <v>114</v>
      </c>
      <c r="Q63" s="3" t="s">
        <v>61</v>
      </c>
    </row>
    <row r="64" spans="1:17" x14ac:dyDescent="0.25">
      <c r="A64" s="2">
        <v>45764</v>
      </c>
      <c r="B64" s="2" t="s">
        <v>486</v>
      </c>
      <c r="C64" s="2" t="s">
        <v>496</v>
      </c>
      <c r="D64" s="3" t="s">
        <v>9</v>
      </c>
      <c r="E64" s="3" t="s">
        <v>28</v>
      </c>
      <c r="F64" s="3" t="s">
        <v>11</v>
      </c>
      <c r="G64" s="3" t="s">
        <v>115</v>
      </c>
      <c r="H64" s="3">
        <v>5</v>
      </c>
      <c r="I64" s="4">
        <v>75</v>
      </c>
      <c r="J64" s="3">
        <v>250</v>
      </c>
      <c r="K64" s="3">
        <v>10</v>
      </c>
      <c r="L64" s="3">
        <v>1125</v>
      </c>
      <c r="M64" s="3">
        <v>750</v>
      </c>
      <c r="N64" s="3" t="s">
        <v>19</v>
      </c>
      <c r="O64" s="3" t="str">
        <f t="shared" si="0"/>
        <v>YES</v>
      </c>
      <c r="P64" s="3" t="s">
        <v>116</v>
      </c>
      <c r="Q64" s="3" t="s">
        <v>45</v>
      </c>
    </row>
    <row r="65" spans="1:17" x14ac:dyDescent="0.25">
      <c r="A65" s="2">
        <v>45801</v>
      </c>
      <c r="B65" s="2" t="s">
        <v>492</v>
      </c>
      <c r="C65" s="2" t="s">
        <v>490</v>
      </c>
      <c r="D65" s="3" t="s">
        <v>32</v>
      </c>
      <c r="E65" s="3" t="s">
        <v>16</v>
      </c>
      <c r="F65" s="3" t="s">
        <v>33</v>
      </c>
      <c r="G65" s="3" t="s">
        <v>88</v>
      </c>
      <c r="H65" s="3">
        <v>3</v>
      </c>
      <c r="I65" s="4">
        <v>112.5</v>
      </c>
      <c r="J65" s="3">
        <v>250</v>
      </c>
      <c r="K65" s="3">
        <v>0</v>
      </c>
      <c r="L65" s="3">
        <v>750</v>
      </c>
      <c r="M65" s="3">
        <v>412.5</v>
      </c>
      <c r="N65" s="3" t="s">
        <v>13</v>
      </c>
      <c r="O65" s="3" t="str">
        <f t="shared" si="0"/>
        <v>NO</v>
      </c>
      <c r="P65" s="3" t="s">
        <v>117</v>
      </c>
      <c r="Q65" s="3" t="s">
        <v>61</v>
      </c>
    </row>
    <row r="66" spans="1:17" x14ac:dyDescent="0.25">
      <c r="A66" s="2">
        <v>45755</v>
      </c>
      <c r="B66" s="2" t="s">
        <v>486</v>
      </c>
      <c r="C66" s="2" t="s">
        <v>493</v>
      </c>
      <c r="D66" s="3" t="s">
        <v>32</v>
      </c>
      <c r="E66" s="3" t="s">
        <v>16</v>
      </c>
      <c r="F66" s="3" t="s">
        <v>24</v>
      </c>
      <c r="G66" s="3" t="s">
        <v>42</v>
      </c>
      <c r="H66" s="3">
        <v>2</v>
      </c>
      <c r="I66" s="4">
        <v>112.5</v>
      </c>
      <c r="J66" s="3">
        <v>250</v>
      </c>
      <c r="K66" s="3">
        <v>20</v>
      </c>
      <c r="L66" s="3">
        <v>400</v>
      </c>
      <c r="M66" s="3">
        <v>175</v>
      </c>
      <c r="N66" s="3" t="s">
        <v>35</v>
      </c>
      <c r="O66" s="3" t="str">
        <f t="shared" si="0"/>
        <v>YES</v>
      </c>
      <c r="P66" s="3" t="s">
        <v>118</v>
      </c>
      <c r="Q66" s="3" t="s">
        <v>41</v>
      </c>
    </row>
    <row r="67" spans="1:17" x14ac:dyDescent="0.25">
      <c r="A67" s="2">
        <v>45756</v>
      </c>
      <c r="B67" s="2" t="s">
        <v>486</v>
      </c>
      <c r="C67" s="2" t="s">
        <v>487</v>
      </c>
      <c r="D67" s="3" t="s">
        <v>38</v>
      </c>
      <c r="E67" s="3" t="s">
        <v>10</v>
      </c>
      <c r="F67" s="3" t="s">
        <v>24</v>
      </c>
      <c r="G67" s="3" t="s">
        <v>25</v>
      </c>
      <c r="H67" s="3">
        <v>1</v>
      </c>
      <c r="I67" s="4">
        <v>22.5</v>
      </c>
      <c r="J67" s="3">
        <v>50</v>
      </c>
      <c r="K67" s="3">
        <v>5</v>
      </c>
      <c r="L67" s="3">
        <v>47.5</v>
      </c>
      <c r="M67" s="3">
        <v>25</v>
      </c>
      <c r="N67" s="3" t="s">
        <v>13</v>
      </c>
      <c r="O67" s="3" t="str">
        <f t="shared" ref="O67:O130" si="1">IF(K67&gt;0,"YES","NO")</f>
        <v>YES</v>
      </c>
      <c r="P67" s="3" t="s">
        <v>119</v>
      </c>
      <c r="Q67" s="3" t="s">
        <v>41</v>
      </c>
    </row>
    <row r="68" spans="1:17" x14ac:dyDescent="0.25">
      <c r="A68" s="2">
        <v>45944</v>
      </c>
      <c r="B68" s="2" t="s">
        <v>499</v>
      </c>
      <c r="C68" s="2" t="s">
        <v>493</v>
      </c>
      <c r="D68" s="3" t="s">
        <v>27</v>
      </c>
      <c r="E68" s="3" t="s">
        <v>39</v>
      </c>
      <c r="F68" s="3" t="s">
        <v>17</v>
      </c>
      <c r="G68" s="3" t="s">
        <v>107</v>
      </c>
      <c r="H68" s="3">
        <v>3</v>
      </c>
      <c r="I68" s="4">
        <v>40</v>
      </c>
      <c r="J68" s="3">
        <v>200</v>
      </c>
      <c r="K68" s="3">
        <v>20</v>
      </c>
      <c r="L68" s="3">
        <v>480</v>
      </c>
      <c r="M68" s="3">
        <v>360</v>
      </c>
      <c r="N68" s="3" t="s">
        <v>35</v>
      </c>
      <c r="O68" s="3" t="str">
        <f t="shared" si="1"/>
        <v>YES</v>
      </c>
      <c r="P68" s="3" t="s">
        <v>120</v>
      </c>
      <c r="Q68" s="3" t="s">
        <v>21</v>
      </c>
    </row>
    <row r="69" spans="1:17" x14ac:dyDescent="0.25">
      <c r="A69" s="2">
        <v>45996</v>
      </c>
      <c r="B69" s="2" t="s">
        <v>498</v>
      </c>
      <c r="C69" s="2" t="s">
        <v>484</v>
      </c>
      <c r="D69" s="3" t="s">
        <v>38</v>
      </c>
      <c r="E69" s="3" t="s">
        <v>28</v>
      </c>
      <c r="F69" s="3" t="s">
        <v>24</v>
      </c>
      <c r="G69" s="3" t="s">
        <v>42</v>
      </c>
      <c r="H69" s="3">
        <v>5</v>
      </c>
      <c r="I69" s="4">
        <v>45</v>
      </c>
      <c r="J69" s="3">
        <v>100</v>
      </c>
      <c r="K69" s="3">
        <v>15</v>
      </c>
      <c r="L69" s="3">
        <v>425</v>
      </c>
      <c r="M69" s="3">
        <v>200</v>
      </c>
      <c r="N69" s="3" t="s">
        <v>35</v>
      </c>
      <c r="O69" s="3" t="str">
        <f t="shared" si="1"/>
        <v>YES</v>
      </c>
      <c r="P69" s="3" t="s">
        <v>121</v>
      </c>
      <c r="Q69" s="3" t="s">
        <v>15</v>
      </c>
    </row>
    <row r="70" spans="1:17" x14ac:dyDescent="0.25">
      <c r="A70" s="2">
        <v>45778</v>
      </c>
      <c r="B70" s="2" t="s">
        <v>492</v>
      </c>
      <c r="C70" s="2" t="s">
        <v>496</v>
      </c>
      <c r="D70" s="3" t="s">
        <v>32</v>
      </c>
      <c r="E70" s="3" t="s">
        <v>10</v>
      </c>
      <c r="F70" s="3" t="s">
        <v>17</v>
      </c>
      <c r="G70" s="3" t="s">
        <v>77</v>
      </c>
      <c r="H70" s="3">
        <v>10</v>
      </c>
      <c r="I70" s="4">
        <v>30</v>
      </c>
      <c r="J70" s="3">
        <v>150</v>
      </c>
      <c r="K70" s="3">
        <v>10</v>
      </c>
      <c r="L70" s="3">
        <v>1350</v>
      </c>
      <c r="M70" s="3">
        <v>1050</v>
      </c>
      <c r="N70" s="3" t="s">
        <v>19</v>
      </c>
      <c r="O70" s="3" t="str">
        <f t="shared" si="1"/>
        <v>YES</v>
      </c>
      <c r="P70" s="3" t="s">
        <v>122</v>
      </c>
      <c r="Q70" s="3" t="s">
        <v>21</v>
      </c>
    </row>
    <row r="71" spans="1:17" x14ac:dyDescent="0.25">
      <c r="A71" s="2">
        <v>45810</v>
      </c>
      <c r="B71" s="2" t="s">
        <v>497</v>
      </c>
      <c r="C71" s="2" t="s">
        <v>491</v>
      </c>
      <c r="D71" s="3" t="s">
        <v>27</v>
      </c>
      <c r="E71" s="3" t="s">
        <v>70</v>
      </c>
      <c r="F71" s="3" t="s">
        <v>24</v>
      </c>
      <c r="G71" s="3" t="s">
        <v>81</v>
      </c>
      <c r="H71" s="3">
        <v>3</v>
      </c>
      <c r="I71" s="4">
        <v>90</v>
      </c>
      <c r="J71" s="3">
        <v>200</v>
      </c>
      <c r="K71" s="3">
        <v>10</v>
      </c>
      <c r="L71" s="3">
        <v>540</v>
      </c>
      <c r="M71" s="3">
        <v>270</v>
      </c>
      <c r="N71" s="3" t="s">
        <v>19</v>
      </c>
      <c r="O71" s="3" t="str">
        <f t="shared" si="1"/>
        <v>YES</v>
      </c>
      <c r="P71" s="3" t="s">
        <v>123</v>
      </c>
      <c r="Q71" s="3" t="s">
        <v>15</v>
      </c>
    </row>
    <row r="72" spans="1:17" x14ac:dyDescent="0.25">
      <c r="A72" s="2">
        <v>45671</v>
      </c>
      <c r="B72" s="2" t="s">
        <v>489</v>
      </c>
      <c r="C72" s="2" t="s">
        <v>493</v>
      </c>
      <c r="D72" s="3" t="s">
        <v>32</v>
      </c>
      <c r="E72" s="3" t="s">
        <v>16</v>
      </c>
      <c r="F72" s="3" t="s">
        <v>17</v>
      </c>
      <c r="G72" s="3" t="s">
        <v>18</v>
      </c>
      <c r="H72" s="3">
        <v>5</v>
      </c>
      <c r="I72" s="4">
        <v>40</v>
      </c>
      <c r="J72" s="3">
        <v>200</v>
      </c>
      <c r="K72" s="3">
        <v>5</v>
      </c>
      <c r="L72" s="3">
        <v>950</v>
      </c>
      <c r="M72" s="3">
        <v>750</v>
      </c>
      <c r="N72" s="3" t="s">
        <v>13</v>
      </c>
      <c r="O72" s="3" t="str">
        <f t="shared" si="1"/>
        <v>YES</v>
      </c>
      <c r="P72" s="3" t="s">
        <v>124</v>
      </c>
      <c r="Q72" s="3" t="s">
        <v>15</v>
      </c>
    </row>
    <row r="73" spans="1:17" x14ac:dyDescent="0.25">
      <c r="A73" s="2">
        <v>45851</v>
      </c>
      <c r="B73" s="2" t="s">
        <v>501</v>
      </c>
      <c r="C73" s="2" t="s">
        <v>488</v>
      </c>
      <c r="D73" s="3" t="s">
        <v>9</v>
      </c>
      <c r="E73" s="3" t="s">
        <v>70</v>
      </c>
      <c r="F73" s="3" t="s">
        <v>29</v>
      </c>
      <c r="G73" s="3" t="s">
        <v>30</v>
      </c>
      <c r="H73" s="3">
        <v>2</v>
      </c>
      <c r="I73" s="4">
        <v>100</v>
      </c>
      <c r="J73" s="3">
        <v>250</v>
      </c>
      <c r="K73" s="3">
        <v>10</v>
      </c>
      <c r="L73" s="3">
        <v>450</v>
      </c>
      <c r="M73" s="3">
        <v>250</v>
      </c>
      <c r="N73" s="3" t="s">
        <v>13</v>
      </c>
      <c r="O73" s="3" t="str">
        <f t="shared" si="1"/>
        <v>YES</v>
      </c>
      <c r="P73" s="3" t="s">
        <v>93</v>
      </c>
      <c r="Q73" s="3" t="s">
        <v>41</v>
      </c>
    </row>
    <row r="74" spans="1:17" x14ac:dyDescent="0.25">
      <c r="A74" s="2">
        <v>45830</v>
      </c>
      <c r="B74" s="2" t="s">
        <v>497</v>
      </c>
      <c r="C74" s="2" t="s">
        <v>488</v>
      </c>
      <c r="D74" s="3" t="s">
        <v>38</v>
      </c>
      <c r="E74" s="3" t="s">
        <v>23</v>
      </c>
      <c r="F74" s="3" t="s">
        <v>11</v>
      </c>
      <c r="G74" s="3" t="s">
        <v>115</v>
      </c>
      <c r="H74" s="3">
        <v>5</v>
      </c>
      <c r="I74" s="4">
        <v>75</v>
      </c>
      <c r="J74" s="3">
        <v>250</v>
      </c>
      <c r="K74" s="3">
        <v>10</v>
      </c>
      <c r="L74" s="3">
        <v>1125</v>
      </c>
      <c r="M74" s="3">
        <v>750</v>
      </c>
      <c r="N74" s="3" t="s">
        <v>35</v>
      </c>
      <c r="O74" s="3" t="str">
        <f t="shared" si="1"/>
        <v>YES</v>
      </c>
      <c r="P74" s="3" t="s">
        <v>125</v>
      </c>
      <c r="Q74" s="3" t="s">
        <v>15</v>
      </c>
    </row>
    <row r="75" spans="1:17" x14ac:dyDescent="0.25">
      <c r="A75" s="2">
        <v>45957</v>
      </c>
      <c r="B75" s="2" t="s">
        <v>499</v>
      </c>
      <c r="C75" s="2" t="s">
        <v>491</v>
      </c>
      <c r="D75" s="3" t="s">
        <v>32</v>
      </c>
      <c r="E75" s="3" t="s">
        <v>10</v>
      </c>
      <c r="F75" s="3" t="s">
        <v>29</v>
      </c>
      <c r="G75" s="3" t="s">
        <v>30</v>
      </c>
      <c r="H75" s="3">
        <v>5</v>
      </c>
      <c r="I75" s="4">
        <v>100</v>
      </c>
      <c r="J75" s="3">
        <v>150</v>
      </c>
      <c r="K75" s="3">
        <v>15</v>
      </c>
      <c r="L75" s="3">
        <v>637.5</v>
      </c>
      <c r="M75" s="3">
        <v>137.5</v>
      </c>
      <c r="N75" s="3" t="s">
        <v>13</v>
      </c>
      <c r="O75" s="3" t="str">
        <f t="shared" si="1"/>
        <v>YES</v>
      </c>
      <c r="P75" s="3" t="s">
        <v>126</v>
      </c>
      <c r="Q75" s="3" t="s">
        <v>61</v>
      </c>
    </row>
    <row r="76" spans="1:17" x14ac:dyDescent="0.25">
      <c r="A76" s="2">
        <v>45884</v>
      </c>
      <c r="B76" s="2" t="s">
        <v>495</v>
      </c>
      <c r="C76" s="2" t="s">
        <v>484</v>
      </c>
      <c r="D76" s="3" t="s">
        <v>27</v>
      </c>
      <c r="E76" s="3" t="s">
        <v>39</v>
      </c>
      <c r="F76" s="3" t="s">
        <v>29</v>
      </c>
      <c r="G76" s="3" t="s">
        <v>83</v>
      </c>
      <c r="H76" s="3">
        <v>2</v>
      </c>
      <c r="I76" s="4">
        <v>80</v>
      </c>
      <c r="J76" s="3">
        <v>250</v>
      </c>
      <c r="K76" s="3">
        <v>10</v>
      </c>
      <c r="L76" s="3">
        <v>450</v>
      </c>
      <c r="M76" s="3">
        <v>290</v>
      </c>
      <c r="N76" s="3" t="s">
        <v>19</v>
      </c>
      <c r="O76" s="3" t="str">
        <f t="shared" si="1"/>
        <v>YES</v>
      </c>
      <c r="P76" s="3" t="s">
        <v>127</v>
      </c>
      <c r="Q76" s="3" t="s">
        <v>45</v>
      </c>
    </row>
    <row r="77" spans="1:17" x14ac:dyDescent="0.25">
      <c r="A77" s="2">
        <v>45720</v>
      </c>
      <c r="B77" s="2" t="s">
        <v>494</v>
      </c>
      <c r="C77" s="2" t="s">
        <v>493</v>
      </c>
      <c r="D77" s="3" t="s">
        <v>9</v>
      </c>
      <c r="E77" s="3" t="s">
        <v>39</v>
      </c>
      <c r="F77" s="3" t="s">
        <v>24</v>
      </c>
      <c r="G77" s="3" t="s">
        <v>81</v>
      </c>
      <c r="H77" s="3">
        <v>2</v>
      </c>
      <c r="I77" s="4">
        <v>90</v>
      </c>
      <c r="J77" s="3">
        <v>200</v>
      </c>
      <c r="K77" s="3">
        <v>0</v>
      </c>
      <c r="L77" s="3">
        <v>400</v>
      </c>
      <c r="M77" s="3">
        <v>220</v>
      </c>
      <c r="N77" s="3" t="s">
        <v>13</v>
      </c>
      <c r="O77" s="3" t="str">
        <f t="shared" si="1"/>
        <v>NO</v>
      </c>
      <c r="P77" s="3" t="s">
        <v>128</v>
      </c>
      <c r="Q77" s="3" t="s">
        <v>61</v>
      </c>
    </row>
    <row r="78" spans="1:17" x14ac:dyDescent="0.25">
      <c r="A78" s="2">
        <v>45816</v>
      </c>
      <c r="B78" s="2" t="s">
        <v>497</v>
      </c>
      <c r="C78" s="2" t="s">
        <v>488</v>
      </c>
      <c r="D78" s="3" t="s">
        <v>22</v>
      </c>
      <c r="E78" s="3" t="s">
        <v>70</v>
      </c>
      <c r="F78" s="3" t="s">
        <v>17</v>
      </c>
      <c r="G78" s="3" t="s">
        <v>107</v>
      </c>
      <c r="H78" s="3">
        <v>5</v>
      </c>
      <c r="I78" s="4">
        <v>40</v>
      </c>
      <c r="J78" s="3">
        <v>200</v>
      </c>
      <c r="K78" s="3">
        <v>20</v>
      </c>
      <c r="L78" s="3">
        <v>800</v>
      </c>
      <c r="M78" s="3">
        <v>600</v>
      </c>
      <c r="N78" s="3" t="s">
        <v>19</v>
      </c>
      <c r="O78" s="3" t="str">
        <f t="shared" si="1"/>
        <v>YES</v>
      </c>
      <c r="P78" s="3" t="s">
        <v>129</v>
      </c>
      <c r="Q78" s="3" t="s">
        <v>15</v>
      </c>
    </row>
    <row r="79" spans="1:17" x14ac:dyDescent="0.25">
      <c r="A79" s="2">
        <v>45919</v>
      </c>
      <c r="B79" s="2" t="s">
        <v>483</v>
      </c>
      <c r="C79" s="2" t="s">
        <v>484</v>
      </c>
      <c r="D79" s="3" t="s">
        <v>27</v>
      </c>
      <c r="E79" s="3" t="s">
        <v>23</v>
      </c>
      <c r="F79" s="3" t="s">
        <v>11</v>
      </c>
      <c r="G79" s="3" t="s">
        <v>59</v>
      </c>
      <c r="H79" s="3">
        <v>2</v>
      </c>
      <c r="I79" s="4">
        <v>60</v>
      </c>
      <c r="J79" s="3">
        <v>200</v>
      </c>
      <c r="K79" s="3">
        <v>15</v>
      </c>
      <c r="L79" s="3">
        <v>340</v>
      </c>
      <c r="M79" s="3">
        <v>220</v>
      </c>
      <c r="N79" s="3" t="s">
        <v>19</v>
      </c>
      <c r="O79" s="3" t="str">
        <f t="shared" si="1"/>
        <v>YES</v>
      </c>
      <c r="P79" s="3" t="s">
        <v>130</v>
      </c>
      <c r="Q79" s="3" t="s">
        <v>45</v>
      </c>
    </row>
    <row r="80" spans="1:17" x14ac:dyDescent="0.25">
      <c r="A80" s="2">
        <v>45813</v>
      </c>
      <c r="B80" s="2" t="s">
        <v>497</v>
      </c>
      <c r="C80" s="2" t="s">
        <v>496</v>
      </c>
      <c r="D80" s="3" t="s">
        <v>22</v>
      </c>
      <c r="E80" s="3" t="s">
        <v>70</v>
      </c>
      <c r="F80" s="3" t="s">
        <v>11</v>
      </c>
      <c r="G80" s="3" t="s">
        <v>131</v>
      </c>
      <c r="H80" s="3">
        <v>2</v>
      </c>
      <c r="I80" s="4">
        <v>30</v>
      </c>
      <c r="J80" s="3">
        <v>100</v>
      </c>
      <c r="K80" s="3">
        <v>0</v>
      </c>
      <c r="L80" s="3">
        <v>200</v>
      </c>
      <c r="M80" s="3">
        <v>140</v>
      </c>
      <c r="N80" s="3" t="s">
        <v>13</v>
      </c>
      <c r="O80" s="3" t="str">
        <f t="shared" si="1"/>
        <v>NO</v>
      </c>
      <c r="P80" s="3" t="s">
        <v>132</v>
      </c>
      <c r="Q80" s="3" t="s">
        <v>21</v>
      </c>
    </row>
    <row r="81" spans="1:17" x14ac:dyDescent="0.25">
      <c r="A81" s="2">
        <v>45852</v>
      </c>
      <c r="B81" s="2" t="s">
        <v>501</v>
      </c>
      <c r="C81" s="2" t="s">
        <v>491</v>
      </c>
      <c r="D81" s="3" t="s">
        <v>32</v>
      </c>
      <c r="E81" s="3" t="s">
        <v>16</v>
      </c>
      <c r="F81" s="3" t="s">
        <v>29</v>
      </c>
      <c r="G81" s="3" t="s">
        <v>83</v>
      </c>
      <c r="H81" s="3">
        <v>5</v>
      </c>
      <c r="I81" s="4">
        <v>100</v>
      </c>
      <c r="J81" s="3">
        <v>50</v>
      </c>
      <c r="K81" s="3">
        <v>0</v>
      </c>
      <c r="L81" s="3">
        <v>250</v>
      </c>
      <c r="M81" s="3">
        <v>-250</v>
      </c>
      <c r="N81" s="3" t="s">
        <v>35</v>
      </c>
      <c r="O81" s="3" t="str">
        <f t="shared" si="1"/>
        <v>NO</v>
      </c>
      <c r="P81" s="3" t="s">
        <v>133</v>
      </c>
      <c r="Q81" s="3" t="s">
        <v>21</v>
      </c>
    </row>
    <row r="82" spans="1:17" x14ac:dyDescent="0.25">
      <c r="A82" s="2">
        <v>45696</v>
      </c>
      <c r="B82" s="2" t="s">
        <v>500</v>
      </c>
      <c r="C82" s="2" t="s">
        <v>490</v>
      </c>
      <c r="D82" s="3" t="s">
        <v>27</v>
      </c>
      <c r="E82" s="3" t="s">
        <v>39</v>
      </c>
      <c r="F82" s="3" t="s">
        <v>17</v>
      </c>
      <c r="G82" s="3" t="s">
        <v>77</v>
      </c>
      <c r="H82" s="3">
        <v>1</v>
      </c>
      <c r="I82" s="4">
        <v>50</v>
      </c>
      <c r="J82" s="3">
        <v>250</v>
      </c>
      <c r="K82" s="3">
        <v>0</v>
      </c>
      <c r="L82" s="3">
        <v>250</v>
      </c>
      <c r="M82" s="3">
        <v>200</v>
      </c>
      <c r="N82" s="3" t="s">
        <v>19</v>
      </c>
      <c r="O82" s="3" t="str">
        <f t="shared" si="1"/>
        <v>NO</v>
      </c>
      <c r="P82" s="3" t="s">
        <v>134</v>
      </c>
      <c r="Q82" s="3" t="s">
        <v>15</v>
      </c>
    </row>
    <row r="83" spans="1:17" x14ac:dyDescent="0.25">
      <c r="A83" s="2">
        <v>46002</v>
      </c>
      <c r="B83" s="2" t="s">
        <v>498</v>
      </c>
      <c r="C83" s="2" t="s">
        <v>496</v>
      </c>
      <c r="D83" s="3" t="s">
        <v>32</v>
      </c>
      <c r="E83" s="3" t="s">
        <v>10</v>
      </c>
      <c r="F83" s="3" t="s">
        <v>33</v>
      </c>
      <c r="G83" s="3" t="s">
        <v>63</v>
      </c>
      <c r="H83" s="3">
        <v>2</v>
      </c>
      <c r="I83" s="4">
        <v>45</v>
      </c>
      <c r="J83" s="3">
        <v>250</v>
      </c>
      <c r="K83" s="3">
        <v>10</v>
      </c>
      <c r="L83" s="3">
        <v>450</v>
      </c>
      <c r="M83" s="3">
        <v>360</v>
      </c>
      <c r="N83" s="3" t="s">
        <v>35</v>
      </c>
      <c r="O83" s="3" t="str">
        <f t="shared" si="1"/>
        <v>YES</v>
      </c>
      <c r="P83" s="3" t="s">
        <v>135</v>
      </c>
      <c r="Q83" s="3" t="s">
        <v>41</v>
      </c>
    </row>
    <row r="84" spans="1:17" x14ac:dyDescent="0.25">
      <c r="A84" s="2">
        <v>45737</v>
      </c>
      <c r="B84" s="2" t="s">
        <v>494</v>
      </c>
      <c r="C84" s="2" t="s">
        <v>484</v>
      </c>
      <c r="D84" s="3" t="s">
        <v>22</v>
      </c>
      <c r="E84" s="3" t="s">
        <v>16</v>
      </c>
      <c r="F84" s="3" t="s">
        <v>29</v>
      </c>
      <c r="G84" s="3" t="s">
        <v>47</v>
      </c>
      <c r="H84" s="3">
        <v>5</v>
      </c>
      <c r="I84" s="4">
        <v>60</v>
      </c>
      <c r="J84" s="3">
        <v>100</v>
      </c>
      <c r="K84" s="3">
        <v>20</v>
      </c>
      <c r="L84" s="3">
        <v>400</v>
      </c>
      <c r="M84" s="3">
        <v>100</v>
      </c>
      <c r="N84" s="3" t="s">
        <v>13</v>
      </c>
      <c r="O84" s="3" t="str">
        <f t="shared" si="1"/>
        <v>YES</v>
      </c>
      <c r="P84" s="3" t="s">
        <v>136</v>
      </c>
      <c r="Q84" s="3" t="s">
        <v>15</v>
      </c>
    </row>
    <row r="85" spans="1:17" x14ac:dyDescent="0.25">
      <c r="A85" s="2">
        <v>45916</v>
      </c>
      <c r="B85" s="2" t="s">
        <v>483</v>
      </c>
      <c r="C85" s="2" t="s">
        <v>493</v>
      </c>
      <c r="D85" s="3" t="s">
        <v>32</v>
      </c>
      <c r="E85" s="3" t="s">
        <v>10</v>
      </c>
      <c r="F85" s="3" t="s">
        <v>29</v>
      </c>
      <c r="G85" s="3" t="s">
        <v>30</v>
      </c>
      <c r="H85" s="3">
        <v>10</v>
      </c>
      <c r="I85" s="4">
        <v>20</v>
      </c>
      <c r="J85" s="3">
        <v>150</v>
      </c>
      <c r="K85" s="3">
        <v>0</v>
      </c>
      <c r="L85" s="3">
        <v>1500</v>
      </c>
      <c r="M85" s="3">
        <v>1300</v>
      </c>
      <c r="N85" s="3" t="s">
        <v>13</v>
      </c>
      <c r="O85" s="3" t="str">
        <f t="shared" si="1"/>
        <v>NO</v>
      </c>
      <c r="P85" s="3" t="s">
        <v>137</v>
      </c>
      <c r="Q85" s="3" t="s">
        <v>45</v>
      </c>
    </row>
    <row r="86" spans="1:17" x14ac:dyDescent="0.25">
      <c r="A86" s="2">
        <v>45758</v>
      </c>
      <c r="B86" s="2" t="s">
        <v>486</v>
      </c>
      <c r="C86" s="2" t="s">
        <v>484</v>
      </c>
      <c r="D86" s="3" t="s">
        <v>32</v>
      </c>
      <c r="E86" s="3" t="s">
        <v>10</v>
      </c>
      <c r="F86" s="3" t="s">
        <v>24</v>
      </c>
      <c r="G86" s="3" t="s">
        <v>42</v>
      </c>
      <c r="H86" s="3">
        <v>5</v>
      </c>
      <c r="I86" s="4">
        <v>22.5</v>
      </c>
      <c r="J86" s="3">
        <v>50</v>
      </c>
      <c r="K86" s="3">
        <v>20</v>
      </c>
      <c r="L86" s="3">
        <v>200</v>
      </c>
      <c r="M86" s="3">
        <v>87.5</v>
      </c>
      <c r="N86" s="3" t="s">
        <v>35</v>
      </c>
      <c r="O86" s="3" t="str">
        <f t="shared" si="1"/>
        <v>YES</v>
      </c>
      <c r="P86" s="3" t="s">
        <v>138</v>
      </c>
      <c r="Q86" s="3" t="s">
        <v>15</v>
      </c>
    </row>
    <row r="87" spans="1:17" x14ac:dyDescent="0.25">
      <c r="A87" s="2">
        <v>45870</v>
      </c>
      <c r="B87" s="2" t="s">
        <v>495</v>
      </c>
      <c r="C87" s="2" t="s">
        <v>484</v>
      </c>
      <c r="D87" s="3" t="s">
        <v>38</v>
      </c>
      <c r="E87" s="3" t="s">
        <v>28</v>
      </c>
      <c r="F87" s="3" t="s">
        <v>29</v>
      </c>
      <c r="G87" s="3" t="s">
        <v>83</v>
      </c>
      <c r="H87" s="3">
        <v>5</v>
      </c>
      <c r="I87" s="4">
        <v>60</v>
      </c>
      <c r="J87" s="3">
        <v>250</v>
      </c>
      <c r="K87" s="3">
        <v>20</v>
      </c>
      <c r="L87" s="3">
        <v>1000</v>
      </c>
      <c r="M87" s="3">
        <v>700</v>
      </c>
      <c r="N87" s="3" t="s">
        <v>13</v>
      </c>
      <c r="O87" s="3" t="str">
        <f t="shared" si="1"/>
        <v>YES</v>
      </c>
      <c r="P87" s="3" t="s">
        <v>139</v>
      </c>
      <c r="Q87" s="3" t="s">
        <v>15</v>
      </c>
    </row>
    <row r="88" spans="1:17" x14ac:dyDescent="0.25">
      <c r="A88" s="2">
        <v>45670</v>
      </c>
      <c r="B88" s="2" t="s">
        <v>489</v>
      </c>
      <c r="C88" s="2" t="s">
        <v>491</v>
      </c>
      <c r="D88" s="3" t="s">
        <v>38</v>
      </c>
      <c r="E88" s="3" t="s">
        <v>16</v>
      </c>
      <c r="F88" s="3" t="s">
        <v>29</v>
      </c>
      <c r="G88" s="3" t="s">
        <v>83</v>
      </c>
      <c r="H88" s="3">
        <v>10</v>
      </c>
      <c r="I88" s="4">
        <v>40</v>
      </c>
      <c r="J88" s="3">
        <v>150</v>
      </c>
      <c r="K88" s="3">
        <v>15</v>
      </c>
      <c r="L88" s="3">
        <v>1275</v>
      </c>
      <c r="M88" s="3">
        <v>875</v>
      </c>
      <c r="N88" s="3" t="s">
        <v>19</v>
      </c>
      <c r="O88" s="3" t="str">
        <f t="shared" si="1"/>
        <v>YES</v>
      </c>
      <c r="P88" s="3" t="s">
        <v>112</v>
      </c>
      <c r="Q88" s="3" t="s">
        <v>41</v>
      </c>
    </row>
    <row r="89" spans="1:17" x14ac:dyDescent="0.25">
      <c r="A89" s="2">
        <v>45734</v>
      </c>
      <c r="B89" s="2" t="s">
        <v>494</v>
      </c>
      <c r="C89" s="2" t="s">
        <v>493</v>
      </c>
      <c r="D89" s="3" t="s">
        <v>32</v>
      </c>
      <c r="E89" s="3" t="s">
        <v>10</v>
      </c>
      <c r="F89" s="3" t="s">
        <v>33</v>
      </c>
      <c r="G89" s="3" t="s">
        <v>50</v>
      </c>
      <c r="H89" s="3">
        <v>2</v>
      </c>
      <c r="I89" s="4">
        <v>45</v>
      </c>
      <c r="J89" s="3">
        <v>100</v>
      </c>
      <c r="K89" s="3">
        <v>0</v>
      </c>
      <c r="L89" s="3">
        <v>200</v>
      </c>
      <c r="M89" s="3">
        <v>110</v>
      </c>
      <c r="N89" s="3" t="s">
        <v>19</v>
      </c>
      <c r="O89" s="3" t="str">
        <f t="shared" si="1"/>
        <v>NO</v>
      </c>
      <c r="P89" s="3" t="s">
        <v>51</v>
      </c>
      <c r="Q89" s="3" t="s">
        <v>15</v>
      </c>
    </row>
    <row r="90" spans="1:17" x14ac:dyDescent="0.25">
      <c r="A90" s="2">
        <v>45842</v>
      </c>
      <c r="B90" s="2" t="s">
        <v>501</v>
      </c>
      <c r="C90" s="2" t="s">
        <v>484</v>
      </c>
      <c r="D90" s="3" t="s">
        <v>32</v>
      </c>
      <c r="E90" s="3" t="s">
        <v>16</v>
      </c>
      <c r="F90" s="3" t="s">
        <v>29</v>
      </c>
      <c r="G90" s="3" t="s">
        <v>30</v>
      </c>
      <c r="H90" s="3">
        <v>5</v>
      </c>
      <c r="I90" s="4">
        <v>20</v>
      </c>
      <c r="J90" s="3">
        <v>100</v>
      </c>
      <c r="K90" s="3">
        <v>0</v>
      </c>
      <c r="L90" s="3">
        <v>500</v>
      </c>
      <c r="M90" s="3">
        <v>400</v>
      </c>
      <c r="N90" s="3" t="s">
        <v>13</v>
      </c>
      <c r="O90" s="3" t="str">
        <f t="shared" si="1"/>
        <v>NO</v>
      </c>
      <c r="P90" s="3" t="s">
        <v>140</v>
      </c>
      <c r="Q90" s="3" t="s">
        <v>45</v>
      </c>
    </row>
    <row r="91" spans="1:17" x14ac:dyDescent="0.25">
      <c r="A91" s="2">
        <v>45911</v>
      </c>
      <c r="B91" s="2" t="s">
        <v>483</v>
      </c>
      <c r="C91" s="2" t="s">
        <v>496</v>
      </c>
      <c r="D91" s="3" t="s">
        <v>32</v>
      </c>
      <c r="E91" s="3" t="s">
        <v>23</v>
      </c>
      <c r="F91" s="3" t="s">
        <v>33</v>
      </c>
      <c r="G91" s="3" t="s">
        <v>88</v>
      </c>
      <c r="H91" s="3">
        <v>2</v>
      </c>
      <c r="I91" s="4">
        <v>90</v>
      </c>
      <c r="J91" s="3">
        <v>50</v>
      </c>
      <c r="K91" s="3">
        <v>0</v>
      </c>
      <c r="L91" s="3">
        <v>100</v>
      </c>
      <c r="M91" s="3">
        <v>-80</v>
      </c>
      <c r="N91" s="3" t="s">
        <v>35</v>
      </c>
      <c r="O91" s="3" t="str">
        <f t="shared" si="1"/>
        <v>NO</v>
      </c>
      <c r="P91" s="3" t="s">
        <v>141</v>
      </c>
      <c r="Q91" s="3" t="s">
        <v>15</v>
      </c>
    </row>
    <row r="92" spans="1:17" x14ac:dyDescent="0.25">
      <c r="A92" s="2">
        <v>45768</v>
      </c>
      <c r="B92" s="2" t="s">
        <v>486</v>
      </c>
      <c r="C92" s="2" t="s">
        <v>491</v>
      </c>
      <c r="D92" s="3" t="s">
        <v>32</v>
      </c>
      <c r="E92" s="3" t="s">
        <v>28</v>
      </c>
      <c r="F92" s="3" t="s">
        <v>24</v>
      </c>
      <c r="G92" s="3" t="s">
        <v>71</v>
      </c>
      <c r="H92" s="3">
        <v>5</v>
      </c>
      <c r="I92" s="4">
        <v>90</v>
      </c>
      <c r="J92" s="3">
        <v>200</v>
      </c>
      <c r="K92" s="3">
        <v>0</v>
      </c>
      <c r="L92" s="3">
        <v>1000</v>
      </c>
      <c r="M92" s="3">
        <v>550</v>
      </c>
      <c r="N92" s="3" t="s">
        <v>13</v>
      </c>
      <c r="O92" s="3" t="str">
        <f t="shared" si="1"/>
        <v>NO</v>
      </c>
      <c r="P92" s="3" t="s">
        <v>142</v>
      </c>
      <c r="Q92" s="3" t="s">
        <v>15</v>
      </c>
    </row>
    <row r="93" spans="1:17" x14ac:dyDescent="0.25">
      <c r="A93" s="2">
        <v>45894</v>
      </c>
      <c r="B93" s="2" t="s">
        <v>495</v>
      </c>
      <c r="C93" s="2" t="s">
        <v>491</v>
      </c>
      <c r="D93" s="3" t="s">
        <v>22</v>
      </c>
      <c r="E93" s="3" t="s">
        <v>39</v>
      </c>
      <c r="F93" s="3" t="s">
        <v>24</v>
      </c>
      <c r="G93" s="3" t="s">
        <v>71</v>
      </c>
      <c r="H93" s="3">
        <v>5</v>
      </c>
      <c r="I93" s="4">
        <v>67.5</v>
      </c>
      <c r="J93" s="3">
        <v>150</v>
      </c>
      <c r="K93" s="3">
        <v>10</v>
      </c>
      <c r="L93" s="3">
        <v>675</v>
      </c>
      <c r="M93" s="3">
        <v>337.5</v>
      </c>
      <c r="N93" s="3" t="s">
        <v>35</v>
      </c>
      <c r="O93" s="3" t="str">
        <f t="shared" si="1"/>
        <v>YES</v>
      </c>
      <c r="P93" s="3" t="s">
        <v>143</v>
      </c>
      <c r="Q93" s="3" t="s">
        <v>21</v>
      </c>
    </row>
    <row r="94" spans="1:17" x14ac:dyDescent="0.25">
      <c r="A94" s="2">
        <v>45944</v>
      </c>
      <c r="B94" s="2" t="s">
        <v>499</v>
      </c>
      <c r="C94" s="2" t="s">
        <v>493</v>
      </c>
      <c r="D94" s="3" t="s">
        <v>9</v>
      </c>
      <c r="E94" s="3" t="s">
        <v>23</v>
      </c>
      <c r="F94" s="3" t="s">
        <v>17</v>
      </c>
      <c r="G94" s="3" t="s">
        <v>18</v>
      </c>
      <c r="H94" s="3">
        <v>5</v>
      </c>
      <c r="I94" s="4">
        <v>20</v>
      </c>
      <c r="J94" s="3">
        <v>100</v>
      </c>
      <c r="K94" s="3">
        <v>15</v>
      </c>
      <c r="L94" s="3">
        <v>425</v>
      </c>
      <c r="M94" s="3">
        <v>325</v>
      </c>
      <c r="N94" s="3" t="s">
        <v>19</v>
      </c>
      <c r="O94" s="3" t="str">
        <f t="shared" si="1"/>
        <v>YES</v>
      </c>
      <c r="P94" s="3" t="s">
        <v>144</v>
      </c>
      <c r="Q94" s="3" t="s">
        <v>15</v>
      </c>
    </row>
    <row r="95" spans="1:17" x14ac:dyDescent="0.25">
      <c r="A95" s="2">
        <v>45849</v>
      </c>
      <c r="B95" s="2" t="s">
        <v>501</v>
      </c>
      <c r="C95" s="2" t="s">
        <v>484</v>
      </c>
      <c r="D95" s="3" t="s">
        <v>38</v>
      </c>
      <c r="E95" s="3" t="s">
        <v>58</v>
      </c>
      <c r="F95" s="3" t="s">
        <v>33</v>
      </c>
      <c r="G95" s="3" t="s">
        <v>63</v>
      </c>
      <c r="H95" s="3">
        <v>10</v>
      </c>
      <c r="I95" s="4">
        <v>90</v>
      </c>
      <c r="J95" s="3">
        <v>150</v>
      </c>
      <c r="K95" s="3">
        <v>0</v>
      </c>
      <c r="L95" s="3">
        <v>1500</v>
      </c>
      <c r="M95" s="3">
        <v>600</v>
      </c>
      <c r="N95" s="3" t="s">
        <v>13</v>
      </c>
      <c r="O95" s="3" t="str">
        <f t="shared" si="1"/>
        <v>NO</v>
      </c>
      <c r="P95" s="3" t="s">
        <v>145</v>
      </c>
      <c r="Q95" s="3" t="s">
        <v>61</v>
      </c>
    </row>
    <row r="96" spans="1:17" x14ac:dyDescent="0.25">
      <c r="A96" s="2">
        <v>45726</v>
      </c>
      <c r="B96" s="2" t="s">
        <v>494</v>
      </c>
      <c r="C96" s="2" t="s">
        <v>491</v>
      </c>
      <c r="D96" s="3" t="s">
        <v>9</v>
      </c>
      <c r="E96" s="3" t="s">
        <v>58</v>
      </c>
      <c r="F96" s="3" t="s">
        <v>17</v>
      </c>
      <c r="G96" s="3" t="s">
        <v>107</v>
      </c>
      <c r="H96" s="3">
        <v>10</v>
      </c>
      <c r="I96" s="4">
        <v>40</v>
      </c>
      <c r="J96" s="3">
        <v>200</v>
      </c>
      <c r="K96" s="3">
        <v>0</v>
      </c>
      <c r="L96" s="3">
        <v>2000</v>
      </c>
      <c r="M96" s="3">
        <v>1600</v>
      </c>
      <c r="N96" s="3" t="s">
        <v>19</v>
      </c>
      <c r="O96" s="3" t="str">
        <f t="shared" si="1"/>
        <v>NO</v>
      </c>
      <c r="P96" s="3" t="s">
        <v>146</v>
      </c>
      <c r="Q96" s="3" t="s">
        <v>37</v>
      </c>
    </row>
    <row r="97" spans="1:17" x14ac:dyDescent="0.25">
      <c r="A97" s="2">
        <v>45983</v>
      </c>
      <c r="B97" s="2" t="s">
        <v>485</v>
      </c>
      <c r="C97" s="2" t="s">
        <v>490</v>
      </c>
      <c r="D97" s="3" t="s">
        <v>38</v>
      </c>
      <c r="E97" s="3" t="s">
        <v>39</v>
      </c>
      <c r="F97" s="3" t="s">
        <v>33</v>
      </c>
      <c r="G97" s="3" t="s">
        <v>34</v>
      </c>
      <c r="H97" s="3">
        <v>3</v>
      </c>
      <c r="I97" s="4">
        <v>45</v>
      </c>
      <c r="J97" s="3">
        <v>100</v>
      </c>
      <c r="K97" s="3">
        <v>0</v>
      </c>
      <c r="L97" s="3">
        <v>300</v>
      </c>
      <c r="M97" s="3">
        <v>165</v>
      </c>
      <c r="N97" s="3" t="s">
        <v>13</v>
      </c>
      <c r="O97" s="3" t="str">
        <f t="shared" si="1"/>
        <v>NO</v>
      </c>
      <c r="P97" s="3" t="s">
        <v>147</v>
      </c>
      <c r="Q97" s="3" t="s">
        <v>15</v>
      </c>
    </row>
    <row r="98" spans="1:17" x14ac:dyDescent="0.25">
      <c r="A98" s="2">
        <v>45904</v>
      </c>
      <c r="B98" s="2" t="s">
        <v>483</v>
      </c>
      <c r="C98" s="2" t="s">
        <v>496</v>
      </c>
      <c r="D98" s="3" t="s">
        <v>9</v>
      </c>
      <c r="E98" s="3" t="s">
        <v>10</v>
      </c>
      <c r="F98" s="3" t="s">
        <v>17</v>
      </c>
      <c r="G98" s="3" t="s">
        <v>107</v>
      </c>
      <c r="H98" s="3">
        <v>10</v>
      </c>
      <c r="I98" s="4">
        <v>20</v>
      </c>
      <c r="J98" s="3">
        <v>100</v>
      </c>
      <c r="K98" s="3">
        <v>20</v>
      </c>
      <c r="L98" s="3">
        <v>800</v>
      </c>
      <c r="M98" s="3">
        <v>600</v>
      </c>
      <c r="N98" s="3" t="s">
        <v>35</v>
      </c>
      <c r="O98" s="3" t="str">
        <f t="shared" si="1"/>
        <v>YES</v>
      </c>
      <c r="P98" s="3" t="s">
        <v>148</v>
      </c>
      <c r="Q98" s="3" t="s">
        <v>45</v>
      </c>
    </row>
    <row r="99" spans="1:17" x14ac:dyDescent="0.25">
      <c r="A99" s="2">
        <v>45888</v>
      </c>
      <c r="B99" s="2" t="s">
        <v>495</v>
      </c>
      <c r="C99" s="2" t="s">
        <v>493</v>
      </c>
      <c r="D99" s="3" t="s">
        <v>38</v>
      </c>
      <c r="E99" s="3" t="s">
        <v>58</v>
      </c>
      <c r="F99" s="3" t="s">
        <v>33</v>
      </c>
      <c r="G99" s="3" t="s">
        <v>50</v>
      </c>
      <c r="H99" s="3">
        <v>2</v>
      </c>
      <c r="I99" s="4">
        <v>67.5</v>
      </c>
      <c r="J99" s="3">
        <v>150</v>
      </c>
      <c r="K99" s="3">
        <v>20</v>
      </c>
      <c r="L99" s="3">
        <v>240</v>
      </c>
      <c r="M99" s="3">
        <v>105</v>
      </c>
      <c r="N99" s="3" t="s">
        <v>35</v>
      </c>
      <c r="O99" s="3" t="str">
        <f t="shared" si="1"/>
        <v>YES</v>
      </c>
      <c r="P99" s="3" t="s">
        <v>149</v>
      </c>
      <c r="Q99" s="3" t="s">
        <v>21</v>
      </c>
    </row>
    <row r="100" spans="1:17" x14ac:dyDescent="0.25">
      <c r="A100" s="2">
        <v>45692</v>
      </c>
      <c r="B100" s="2" t="s">
        <v>500</v>
      </c>
      <c r="C100" s="2" t="s">
        <v>493</v>
      </c>
      <c r="D100" s="3" t="s">
        <v>32</v>
      </c>
      <c r="E100" s="3" t="s">
        <v>58</v>
      </c>
      <c r="F100" s="3" t="s">
        <v>24</v>
      </c>
      <c r="G100" s="3" t="s">
        <v>25</v>
      </c>
      <c r="H100" s="3">
        <v>1</v>
      </c>
      <c r="I100" s="4">
        <v>67.5</v>
      </c>
      <c r="J100" s="3">
        <v>150</v>
      </c>
      <c r="K100" s="3">
        <v>0</v>
      </c>
      <c r="L100" s="3">
        <v>150</v>
      </c>
      <c r="M100" s="3">
        <v>82.5</v>
      </c>
      <c r="N100" s="3" t="s">
        <v>13</v>
      </c>
      <c r="O100" s="3" t="str">
        <f t="shared" si="1"/>
        <v>NO</v>
      </c>
      <c r="P100" s="3" t="s">
        <v>150</v>
      </c>
      <c r="Q100" s="3" t="s">
        <v>37</v>
      </c>
    </row>
    <row r="101" spans="1:17" x14ac:dyDescent="0.25">
      <c r="A101" s="2">
        <v>45826</v>
      </c>
      <c r="B101" s="2" t="s">
        <v>497</v>
      </c>
      <c r="C101" s="2" t="s">
        <v>487</v>
      </c>
      <c r="D101" s="3" t="s">
        <v>38</v>
      </c>
      <c r="E101" s="3" t="s">
        <v>10</v>
      </c>
      <c r="F101" s="3" t="s">
        <v>33</v>
      </c>
      <c r="G101" s="3" t="s">
        <v>63</v>
      </c>
      <c r="H101" s="3">
        <v>10</v>
      </c>
      <c r="I101" s="4">
        <v>90</v>
      </c>
      <c r="J101" s="3">
        <v>150</v>
      </c>
      <c r="K101" s="3">
        <v>15</v>
      </c>
      <c r="L101" s="3">
        <v>1275</v>
      </c>
      <c r="M101" s="3">
        <v>375</v>
      </c>
      <c r="N101" s="3" t="s">
        <v>19</v>
      </c>
      <c r="O101" s="3" t="str">
        <f t="shared" si="1"/>
        <v>YES</v>
      </c>
      <c r="P101" s="3" t="s">
        <v>151</v>
      </c>
      <c r="Q101" s="3" t="s">
        <v>45</v>
      </c>
    </row>
    <row r="102" spans="1:17" x14ac:dyDescent="0.25">
      <c r="A102" s="2">
        <v>45717</v>
      </c>
      <c r="B102" s="2" t="s">
        <v>494</v>
      </c>
      <c r="C102" s="2" t="s">
        <v>490</v>
      </c>
      <c r="D102" s="3" t="s">
        <v>22</v>
      </c>
      <c r="E102" s="3" t="s">
        <v>23</v>
      </c>
      <c r="F102" s="3" t="s">
        <v>24</v>
      </c>
      <c r="G102" s="3" t="s">
        <v>25</v>
      </c>
      <c r="H102" s="3">
        <v>1</v>
      </c>
      <c r="I102" s="4">
        <v>90</v>
      </c>
      <c r="J102" s="3">
        <v>200</v>
      </c>
      <c r="K102" s="3">
        <v>15</v>
      </c>
      <c r="L102" s="3">
        <v>170</v>
      </c>
      <c r="M102" s="3">
        <v>80</v>
      </c>
      <c r="N102" s="3" t="s">
        <v>35</v>
      </c>
      <c r="O102" s="3" t="str">
        <f t="shared" si="1"/>
        <v>YES</v>
      </c>
      <c r="P102" s="3" t="s">
        <v>55</v>
      </c>
      <c r="Q102" s="3" t="s">
        <v>15</v>
      </c>
    </row>
    <row r="103" spans="1:17" x14ac:dyDescent="0.25">
      <c r="A103" s="2">
        <v>45703</v>
      </c>
      <c r="B103" s="2" t="s">
        <v>500</v>
      </c>
      <c r="C103" s="2" t="s">
        <v>490</v>
      </c>
      <c r="D103" s="3" t="s">
        <v>9</v>
      </c>
      <c r="E103" s="3" t="s">
        <v>28</v>
      </c>
      <c r="F103" s="3" t="s">
        <v>24</v>
      </c>
      <c r="G103" s="3" t="s">
        <v>81</v>
      </c>
      <c r="H103" s="3">
        <v>3</v>
      </c>
      <c r="I103" s="4">
        <v>67.5</v>
      </c>
      <c r="J103" s="3">
        <v>150</v>
      </c>
      <c r="K103" s="3">
        <v>5</v>
      </c>
      <c r="L103" s="3">
        <v>427.5</v>
      </c>
      <c r="M103" s="3">
        <v>225</v>
      </c>
      <c r="N103" s="3" t="s">
        <v>19</v>
      </c>
      <c r="O103" s="3" t="str">
        <f t="shared" si="1"/>
        <v>YES</v>
      </c>
      <c r="P103" s="3" t="s">
        <v>152</v>
      </c>
      <c r="Q103" s="3" t="s">
        <v>41</v>
      </c>
    </row>
    <row r="104" spans="1:17" x14ac:dyDescent="0.25">
      <c r="A104" s="2">
        <v>45805</v>
      </c>
      <c r="B104" s="2" t="s">
        <v>492</v>
      </c>
      <c r="C104" s="2" t="s">
        <v>487</v>
      </c>
      <c r="D104" s="3" t="s">
        <v>22</v>
      </c>
      <c r="E104" s="3" t="s">
        <v>10</v>
      </c>
      <c r="F104" s="3" t="s">
        <v>29</v>
      </c>
      <c r="G104" s="3" t="s">
        <v>54</v>
      </c>
      <c r="H104" s="3">
        <v>1</v>
      </c>
      <c r="I104" s="4">
        <v>60</v>
      </c>
      <c r="J104" s="3">
        <v>250</v>
      </c>
      <c r="K104" s="3">
        <v>0</v>
      </c>
      <c r="L104" s="3">
        <v>250</v>
      </c>
      <c r="M104" s="3">
        <v>190</v>
      </c>
      <c r="N104" s="3" t="s">
        <v>13</v>
      </c>
      <c r="O104" s="3" t="str">
        <f t="shared" si="1"/>
        <v>NO</v>
      </c>
      <c r="P104" s="3" t="s">
        <v>40</v>
      </c>
      <c r="Q104" s="3" t="s">
        <v>37</v>
      </c>
    </row>
    <row r="105" spans="1:17" x14ac:dyDescent="0.25">
      <c r="A105" s="2">
        <v>45788</v>
      </c>
      <c r="B105" s="2" t="s">
        <v>492</v>
      </c>
      <c r="C105" s="2" t="s">
        <v>488</v>
      </c>
      <c r="D105" s="3" t="s">
        <v>32</v>
      </c>
      <c r="E105" s="3" t="s">
        <v>39</v>
      </c>
      <c r="F105" s="3" t="s">
        <v>11</v>
      </c>
      <c r="G105" s="3" t="s">
        <v>59</v>
      </c>
      <c r="H105" s="3">
        <v>1</v>
      </c>
      <c r="I105" s="4">
        <v>45</v>
      </c>
      <c r="J105" s="3">
        <v>150</v>
      </c>
      <c r="K105" s="3">
        <v>20</v>
      </c>
      <c r="L105" s="3">
        <v>120</v>
      </c>
      <c r="M105" s="3">
        <v>75</v>
      </c>
      <c r="N105" s="3" t="s">
        <v>19</v>
      </c>
      <c r="O105" s="3" t="str">
        <f t="shared" si="1"/>
        <v>YES</v>
      </c>
      <c r="P105" s="3" t="s">
        <v>153</v>
      </c>
      <c r="Q105" s="3" t="s">
        <v>61</v>
      </c>
    </row>
    <row r="106" spans="1:17" x14ac:dyDescent="0.25">
      <c r="A106" s="2">
        <v>45928</v>
      </c>
      <c r="B106" s="2" t="s">
        <v>483</v>
      </c>
      <c r="C106" s="2" t="s">
        <v>488</v>
      </c>
      <c r="D106" s="3" t="s">
        <v>32</v>
      </c>
      <c r="E106" s="3" t="s">
        <v>70</v>
      </c>
      <c r="F106" s="3" t="s">
        <v>17</v>
      </c>
      <c r="G106" s="3" t="s">
        <v>56</v>
      </c>
      <c r="H106" s="3">
        <v>2</v>
      </c>
      <c r="I106" s="4">
        <v>10</v>
      </c>
      <c r="J106" s="3">
        <v>50</v>
      </c>
      <c r="K106" s="3">
        <v>10</v>
      </c>
      <c r="L106" s="3">
        <v>90</v>
      </c>
      <c r="M106" s="3">
        <v>70</v>
      </c>
      <c r="N106" s="3" t="s">
        <v>35</v>
      </c>
      <c r="O106" s="3" t="str">
        <f t="shared" si="1"/>
        <v>YES</v>
      </c>
      <c r="P106" s="3" t="s">
        <v>154</v>
      </c>
      <c r="Q106" s="3" t="s">
        <v>41</v>
      </c>
    </row>
    <row r="107" spans="1:17" x14ac:dyDescent="0.25">
      <c r="A107" s="2">
        <v>45797</v>
      </c>
      <c r="B107" s="2" t="s">
        <v>492</v>
      </c>
      <c r="C107" s="2" t="s">
        <v>493</v>
      </c>
      <c r="D107" s="3" t="s">
        <v>32</v>
      </c>
      <c r="E107" s="3" t="s">
        <v>39</v>
      </c>
      <c r="F107" s="3" t="s">
        <v>24</v>
      </c>
      <c r="G107" s="3" t="s">
        <v>71</v>
      </c>
      <c r="H107" s="3">
        <v>5</v>
      </c>
      <c r="I107" s="4">
        <v>22.5</v>
      </c>
      <c r="J107" s="3">
        <v>50</v>
      </c>
      <c r="K107" s="3">
        <v>5</v>
      </c>
      <c r="L107" s="3">
        <v>237.5</v>
      </c>
      <c r="M107" s="3">
        <v>125</v>
      </c>
      <c r="N107" s="3" t="s">
        <v>19</v>
      </c>
      <c r="O107" s="3" t="str">
        <f t="shared" si="1"/>
        <v>YES</v>
      </c>
      <c r="P107" s="3" t="s">
        <v>155</v>
      </c>
      <c r="Q107" s="3" t="s">
        <v>61</v>
      </c>
    </row>
    <row r="108" spans="1:17" x14ac:dyDescent="0.25">
      <c r="A108" s="2">
        <v>45897</v>
      </c>
      <c r="B108" s="2" t="s">
        <v>495</v>
      </c>
      <c r="C108" s="2" t="s">
        <v>496</v>
      </c>
      <c r="D108" s="3" t="s">
        <v>32</v>
      </c>
      <c r="E108" s="3" t="s">
        <v>58</v>
      </c>
      <c r="F108" s="3" t="s">
        <v>33</v>
      </c>
      <c r="G108" s="3" t="s">
        <v>50</v>
      </c>
      <c r="H108" s="3">
        <v>1</v>
      </c>
      <c r="I108" s="4">
        <v>45</v>
      </c>
      <c r="J108" s="3">
        <v>200</v>
      </c>
      <c r="K108" s="3">
        <v>15</v>
      </c>
      <c r="L108" s="3">
        <v>170</v>
      </c>
      <c r="M108" s="3">
        <v>125</v>
      </c>
      <c r="N108" s="3" t="s">
        <v>35</v>
      </c>
      <c r="O108" s="3" t="str">
        <f t="shared" si="1"/>
        <v>YES</v>
      </c>
      <c r="P108" s="3" t="s">
        <v>156</v>
      </c>
      <c r="Q108" s="3" t="s">
        <v>15</v>
      </c>
    </row>
    <row r="109" spans="1:17" x14ac:dyDescent="0.25">
      <c r="A109" s="2">
        <v>45896</v>
      </c>
      <c r="B109" s="2" t="s">
        <v>495</v>
      </c>
      <c r="C109" s="2" t="s">
        <v>487</v>
      </c>
      <c r="D109" s="3" t="s">
        <v>9</v>
      </c>
      <c r="E109" s="3" t="s">
        <v>39</v>
      </c>
      <c r="F109" s="3" t="s">
        <v>17</v>
      </c>
      <c r="G109" s="3" t="s">
        <v>18</v>
      </c>
      <c r="H109" s="3">
        <v>1</v>
      </c>
      <c r="I109" s="4">
        <v>20</v>
      </c>
      <c r="J109" s="3">
        <v>100</v>
      </c>
      <c r="K109" s="3">
        <v>5</v>
      </c>
      <c r="L109" s="3">
        <v>95</v>
      </c>
      <c r="M109" s="3">
        <v>75</v>
      </c>
      <c r="N109" s="3" t="s">
        <v>19</v>
      </c>
      <c r="O109" s="3" t="str">
        <f t="shared" si="1"/>
        <v>YES</v>
      </c>
      <c r="P109" s="3" t="s">
        <v>157</v>
      </c>
      <c r="Q109" s="3" t="s">
        <v>37</v>
      </c>
    </row>
    <row r="110" spans="1:17" x14ac:dyDescent="0.25">
      <c r="A110" s="2">
        <v>45731</v>
      </c>
      <c r="B110" s="2" t="s">
        <v>494</v>
      </c>
      <c r="C110" s="2" t="s">
        <v>490</v>
      </c>
      <c r="D110" s="3" t="s">
        <v>32</v>
      </c>
      <c r="E110" s="3" t="s">
        <v>28</v>
      </c>
      <c r="F110" s="3" t="s">
        <v>29</v>
      </c>
      <c r="G110" s="3" t="s">
        <v>54</v>
      </c>
      <c r="H110" s="3">
        <v>5</v>
      </c>
      <c r="I110" s="4">
        <v>40</v>
      </c>
      <c r="J110" s="3">
        <v>200</v>
      </c>
      <c r="K110" s="3">
        <v>0</v>
      </c>
      <c r="L110" s="3">
        <v>1000</v>
      </c>
      <c r="M110" s="3">
        <v>800</v>
      </c>
      <c r="N110" s="3" t="s">
        <v>13</v>
      </c>
      <c r="O110" s="3" t="str">
        <f t="shared" si="1"/>
        <v>NO</v>
      </c>
      <c r="P110" s="3" t="s">
        <v>158</v>
      </c>
      <c r="Q110" s="3" t="s">
        <v>61</v>
      </c>
    </row>
    <row r="111" spans="1:17" x14ac:dyDescent="0.25">
      <c r="A111" s="2">
        <v>45972</v>
      </c>
      <c r="B111" s="2" t="s">
        <v>485</v>
      </c>
      <c r="C111" s="2" t="s">
        <v>493</v>
      </c>
      <c r="D111" s="3" t="s">
        <v>9</v>
      </c>
      <c r="E111" s="3" t="s">
        <v>70</v>
      </c>
      <c r="F111" s="3" t="s">
        <v>33</v>
      </c>
      <c r="G111" s="3" t="s">
        <v>88</v>
      </c>
      <c r="H111" s="3">
        <v>5</v>
      </c>
      <c r="I111" s="4">
        <v>112.5</v>
      </c>
      <c r="J111" s="3">
        <v>100</v>
      </c>
      <c r="K111" s="3">
        <v>15</v>
      </c>
      <c r="L111" s="3">
        <v>425</v>
      </c>
      <c r="M111" s="3">
        <v>-137.5</v>
      </c>
      <c r="N111" s="3" t="s">
        <v>13</v>
      </c>
      <c r="O111" s="3" t="str">
        <f t="shared" si="1"/>
        <v>YES</v>
      </c>
      <c r="P111" s="3" t="s">
        <v>159</v>
      </c>
      <c r="Q111" s="3" t="s">
        <v>37</v>
      </c>
    </row>
    <row r="112" spans="1:17" x14ac:dyDescent="0.25">
      <c r="A112" s="2">
        <v>45799</v>
      </c>
      <c r="B112" s="2" t="s">
        <v>492</v>
      </c>
      <c r="C112" s="2" t="s">
        <v>496</v>
      </c>
      <c r="D112" s="3" t="s">
        <v>27</v>
      </c>
      <c r="E112" s="3" t="s">
        <v>28</v>
      </c>
      <c r="F112" s="3" t="s">
        <v>24</v>
      </c>
      <c r="G112" s="3" t="s">
        <v>71</v>
      </c>
      <c r="H112" s="3">
        <v>1</v>
      </c>
      <c r="I112" s="4">
        <v>112.5</v>
      </c>
      <c r="J112" s="3">
        <v>250</v>
      </c>
      <c r="K112" s="3">
        <v>15</v>
      </c>
      <c r="L112" s="3">
        <v>212.5</v>
      </c>
      <c r="M112" s="3">
        <v>100</v>
      </c>
      <c r="N112" s="3" t="s">
        <v>13</v>
      </c>
      <c r="O112" s="3" t="str">
        <f t="shared" si="1"/>
        <v>YES</v>
      </c>
      <c r="P112" s="3" t="s">
        <v>144</v>
      </c>
      <c r="Q112" s="3" t="s">
        <v>45</v>
      </c>
    </row>
    <row r="113" spans="1:17" x14ac:dyDescent="0.25">
      <c r="A113" s="2">
        <v>45769</v>
      </c>
      <c r="B113" s="2" t="s">
        <v>486</v>
      </c>
      <c r="C113" s="2" t="s">
        <v>493</v>
      </c>
      <c r="D113" s="3" t="s">
        <v>27</v>
      </c>
      <c r="E113" s="3" t="s">
        <v>23</v>
      </c>
      <c r="F113" s="3" t="s">
        <v>11</v>
      </c>
      <c r="G113" s="3" t="s">
        <v>115</v>
      </c>
      <c r="H113" s="3">
        <v>2</v>
      </c>
      <c r="I113" s="4">
        <v>75</v>
      </c>
      <c r="J113" s="3">
        <v>250</v>
      </c>
      <c r="K113" s="3">
        <v>10</v>
      </c>
      <c r="L113" s="3">
        <v>450</v>
      </c>
      <c r="M113" s="3">
        <v>300</v>
      </c>
      <c r="N113" s="3" t="s">
        <v>19</v>
      </c>
      <c r="O113" s="3" t="str">
        <f t="shared" si="1"/>
        <v>YES</v>
      </c>
      <c r="P113" s="3" t="s">
        <v>160</v>
      </c>
      <c r="Q113" s="3" t="s">
        <v>37</v>
      </c>
    </row>
    <row r="114" spans="1:17" x14ac:dyDescent="0.25">
      <c r="A114" s="2">
        <v>45894</v>
      </c>
      <c r="B114" s="2" t="s">
        <v>495</v>
      </c>
      <c r="C114" s="2" t="s">
        <v>491</v>
      </c>
      <c r="D114" s="3" t="s">
        <v>9</v>
      </c>
      <c r="E114" s="3" t="s">
        <v>70</v>
      </c>
      <c r="F114" s="3" t="s">
        <v>33</v>
      </c>
      <c r="G114" s="3" t="s">
        <v>50</v>
      </c>
      <c r="H114" s="3">
        <v>2</v>
      </c>
      <c r="I114" s="4">
        <v>67.5</v>
      </c>
      <c r="J114" s="3">
        <v>100</v>
      </c>
      <c r="K114" s="3">
        <v>15</v>
      </c>
      <c r="L114" s="3">
        <v>170</v>
      </c>
      <c r="M114" s="3">
        <v>35</v>
      </c>
      <c r="N114" s="3" t="s">
        <v>19</v>
      </c>
      <c r="O114" s="3" t="str">
        <f t="shared" si="1"/>
        <v>YES</v>
      </c>
      <c r="P114" s="3" t="s">
        <v>161</v>
      </c>
      <c r="Q114" s="3" t="s">
        <v>15</v>
      </c>
    </row>
    <row r="115" spans="1:17" x14ac:dyDescent="0.25">
      <c r="A115" s="2">
        <v>45947</v>
      </c>
      <c r="B115" s="2" t="s">
        <v>499</v>
      </c>
      <c r="C115" s="2" t="s">
        <v>484</v>
      </c>
      <c r="D115" s="3" t="s">
        <v>38</v>
      </c>
      <c r="E115" s="3" t="s">
        <v>58</v>
      </c>
      <c r="F115" s="3" t="s">
        <v>17</v>
      </c>
      <c r="G115" s="3" t="s">
        <v>18</v>
      </c>
      <c r="H115" s="3">
        <v>1</v>
      </c>
      <c r="I115" s="4">
        <v>30</v>
      </c>
      <c r="J115" s="3">
        <v>150</v>
      </c>
      <c r="K115" s="3">
        <v>20</v>
      </c>
      <c r="L115" s="3">
        <v>120</v>
      </c>
      <c r="M115" s="3">
        <v>90</v>
      </c>
      <c r="N115" s="3" t="s">
        <v>19</v>
      </c>
      <c r="O115" s="3" t="str">
        <f t="shared" si="1"/>
        <v>YES</v>
      </c>
      <c r="P115" s="3" t="s">
        <v>162</v>
      </c>
      <c r="Q115" s="3" t="s">
        <v>15</v>
      </c>
    </row>
    <row r="116" spans="1:17" x14ac:dyDescent="0.25">
      <c r="A116" s="2">
        <v>45703</v>
      </c>
      <c r="B116" s="2" t="s">
        <v>500</v>
      </c>
      <c r="C116" s="2" t="s">
        <v>490</v>
      </c>
      <c r="D116" s="3" t="s">
        <v>22</v>
      </c>
      <c r="E116" s="3" t="s">
        <v>16</v>
      </c>
      <c r="F116" s="3" t="s">
        <v>33</v>
      </c>
      <c r="G116" s="3" t="s">
        <v>34</v>
      </c>
      <c r="H116" s="3">
        <v>2</v>
      </c>
      <c r="I116" s="4">
        <v>67.5</v>
      </c>
      <c r="J116" s="3">
        <v>250</v>
      </c>
      <c r="K116" s="3">
        <v>0</v>
      </c>
      <c r="L116" s="3">
        <v>500</v>
      </c>
      <c r="M116" s="3">
        <v>365</v>
      </c>
      <c r="N116" s="3" t="s">
        <v>19</v>
      </c>
      <c r="O116" s="3" t="str">
        <f t="shared" si="1"/>
        <v>NO</v>
      </c>
      <c r="P116" s="3" t="s">
        <v>163</v>
      </c>
      <c r="Q116" s="3" t="s">
        <v>37</v>
      </c>
    </row>
    <row r="117" spans="1:17" x14ac:dyDescent="0.25">
      <c r="A117" s="2">
        <v>45832</v>
      </c>
      <c r="B117" s="2" t="s">
        <v>497</v>
      </c>
      <c r="C117" s="2" t="s">
        <v>493</v>
      </c>
      <c r="D117" s="3" t="s">
        <v>38</v>
      </c>
      <c r="E117" s="3" t="s">
        <v>10</v>
      </c>
      <c r="F117" s="3" t="s">
        <v>17</v>
      </c>
      <c r="G117" s="3" t="s">
        <v>68</v>
      </c>
      <c r="H117" s="3">
        <v>5</v>
      </c>
      <c r="I117" s="4">
        <v>30</v>
      </c>
      <c r="J117" s="3">
        <v>150</v>
      </c>
      <c r="K117" s="3">
        <v>10</v>
      </c>
      <c r="L117" s="3">
        <v>675</v>
      </c>
      <c r="M117" s="3">
        <v>525</v>
      </c>
      <c r="N117" s="3" t="s">
        <v>19</v>
      </c>
      <c r="O117" s="3" t="str">
        <f t="shared" si="1"/>
        <v>YES</v>
      </c>
      <c r="P117" s="3" t="s">
        <v>164</v>
      </c>
      <c r="Q117" s="3" t="s">
        <v>45</v>
      </c>
    </row>
    <row r="118" spans="1:17" x14ac:dyDescent="0.25">
      <c r="A118" s="2">
        <v>45907</v>
      </c>
      <c r="B118" s="2" t="s">
        <v>483</v>
      </c>
      <c r="C118" s="2" t="s">
        <v>488</v>
      </c>
      <c r="D118" s="3" t="s">
        <v>9</v>
      </c>
      <c r="E118" s="3" t="s">
        <v>39</v>
      </c>
      <c r="F118" s="3" t="s">
        <v>29</v>
      </c>
      <c r="G118" s="3" t="s">
        <v>54</v>
      </c>
      <c r="H118" s="3">
        <v>1</v>
      </c>
      <c r="I118" s="4">
        <v>60</v>
      </c>
      <c r="J118" s="3">
        <v>100</v>
      </c>
      <c r="K118" s="3">
        <v>20</v>
      </c>
      <c r="L118" s="3">
        <v>80</v>
      </c>
      <c r="M118" s="3">
        <v>20</v>
      </c>
      <c r="N118" s="3" t="s">
        <v>19</v>
      </c>
      <c r="O118" s="3" t="str">
        <f t="shared" si="1"/>
        <v>YES</v>
      </c>
      <c r="P118" s="3" t="s">
        <v>165</v>
      </c>
      <c r="Q118" s="3" t="s">
        <v>45</v>
      </c>
    </row>
    <row r="119" spans="1:17" x14ac:dyDescent="0.25">
      <c r="A119" s="2">
        <v>45888</v>
      </c>
      <c r="B119" s="2" t="s">
        <v>495</v>
      </c>
      <c r="C119" s="2" t="s">
        <v>493</v>
      </c>
      <c r="D119" s="3" t="s">
        <v>27</v>
      </c>
      <c r="E119" s="3" t="s">
        <v>16</v>
      </c>
      <c r="F119" s="3" t="s">
        <v>33</v>
      </c>
      <c r="G119" s="3" t="s">
        <v>50</v>
      </c>
      <c r="H119" s="3">
        <v>10</v>
      </c>
      <c r="I119" s="4">
        <v>112.5</v>
      </c>
      <c r="J119" s="3">
        <v>150</v>
      </c>
      <c r="K119" s="3">
        <v>10</v>
      </c>
      <c r="L119" s="3">
        <v>1350</v>
      </c>
      <c r="M119" s="3">
        <v>225</v>
      </c>
      <c r="N119" s="3" t="s">
        <v>13</v>
      </c>
      <c r="O119" s="3" t="str">
        <f t="shared" si="1"/>
        <v>YES</v>
      </c>
      <c r="P119" s="3" t="s">
        <v>166</v>
      </c>
      <c r="Q119" s="3" t="s">
        <v>15</v>
      </c>
    </row>
    <row r="120" spans="1:17" x14ac:dyDescent="0.25">
      <c r="A120" s="2">
        <v>45692</v>
      </c>
      <c r="B120" s="2" t="s">
        <v>500</v>
      </c>
      <c r="C120" s="2" t="s">
        <v>493</v>
      </c>
      <c r="D120" s="3" t="s">
        <v>38</v>
      </c>
      <c r="E120" s="3" t="s">
        <v>58</v>
      </c>
      <c r="F120" s="3" t="s">
        <v>11</v>
      </c>
      <c r="G120" s="3" t="s">
        <v>105</v>
      </c>
      <c r="H120" s="3">
        <v>2</v>
      </c>
      <c r="I120" s="4">
        <v>75</v>
      </c>
      <c r="J120" s="3">
        <v>250</v>
      </c>
      <c r="K120" s="3">
        <v>15</v>
      </c>
      <c r="L120" s="3">
        <v>425</v>
      </c>
      <c r="M120" s="3">
        <v>275</v>
      </c>
      <c r="N120" s="3" t="s">
        <v>13</v>
      </c>
      <c r="O120" s="3" t="str">
        <f t="shared" si="1"/>
        <v>YES</v>
      </c>
      <c r="P120" s="3" t="s">
        <v>167</v>
      </c>
      <c r="Q120" s="3" t="s">
        <v>41</v>
      </c>
    </row>
    <row r="121" spans="1:17" x14ac:dyDescent="0.25">
      <c r="A121" s="2">
        <v>46015</v>
      </c>
      <c r="B121" s="2" t="s">
        <v>498</v>
      </c>
      <c r="C121" s="2" t="s">
        <v>487</v>
      </c>
      <c r="D121" s="3" t="s">
        <v>22</v>
      </c>
      <c r="E121" s="3" t="s">
        <v>23</v>
      </c>
      <c r="F121" s="3" t="s">
        <v>24</v>
      </c>
      <c r="G121" s="3" t="s">
        <v>25</v>
      </c>
      <c r="H121" s="3">
        <v>2</v>
      </c>
      <c r="I121" s="4">
        <v>67.5</v>
      </c>
      <c r="J121" s="3">
        <v>150</v>
      </c>
      <c r="K121" s="3">
        <v>20</v>
      </c>
      <c r="L121" s="3">
        <v>240</v>
      </c>
      <c r="M121" s="3">
        <v>105</v>
      </c>
      <c r="N121" s="3" t="s">
        <v>35</v>
      </c>
      <c r="O121" s="3" t="str">
        <f t="shared" si="1"/>
        <v>YES</v>
      </c>
      <c r="P121" s="3" t="s">
        <v>168</v>
      </c>
      <c r="Q121" s="3" t="s">
        <v>15</v>
      </c>
    </row>
    <row r="122" spans="1:17" x14ac:dyDescent="0.25">
      <c r="A122" s="2">
        <v>45764</v>
      </c>
      <c r="B122" s="2" t="s">
        <v>486</v>
      </c>
      <c r="C122" s="2" t="s">
        <v>496</v>
      </c>
      <c r="D122" s="3" t="s">
        <v>38</v>
      </c>
      <c r="E122" s="3" t="s">
        <v>23</v>
      </c>
      <c r="F122" s="3" t="s">
        <v>11</v>
      </c>
      <c r="G122" s="3" t="s">
        <v>59</v>
      </c>
      <c r="H122" s="3">
        <v>1</v>
      </c>
      <c r="I122" s="4">
        <v>60</v>
      </c>
      <c r="J122" s="3">
        <v>200</v>
      </c>
      <c r="K122" s="3">
        <v>10</v>
      </c>
      <c r="L122" s="3">
        <v>180</v>
      </c>
      <c r="M122" s="3">
        <v>120</v>
      </c>
      <c r="N122" s="3" t="s">
        <v>19</v>
      </c>
      <c r="O122" s="3" t="str">
        <f t="shared" si="1"/>
        <v>YES</v>
      </c>
      <c r="P122" s="3" t="s">
        <v>169</v>
      </c>
      <c r="Q122" s="3" t="s">
        <v>21</v>
      </c>
    </row>
    <row r="123" spans="1:17" x14ac:dyDescent="0.25">
      <c r="A123" s="2">
        <v>45817</v>
      </c>
      <c r="B123" s="2" t="s">
        <v>497</v>
      </c>
      <c r="C123" s="2" t="s">
        <v>491</v>
      </c>
      <c r="D123" s="3" t="s">
        <v>9</v>
      </c>
      <c r="E123" s="3" t="s">
        <v>28</v>
      </c>
      <c r="F123" s="3" t="s">
        <v>29</v>
      </c>
      <c r="G123" s="3" t="s">
        <v>54</v>
      </c>
      <c r="H123" s="3">
        <v>2</v>
      </c>
      <c r="I123" s="4">
        <v>20</v>
      </c>
      <c r="J123" s="3">
        <v>250</v>
      </c>
      <c r="K123" s="3">
        <v>5</v>
      </c>
      <c r="L123" s="3">
        <v>475</v>
      </c>
      <c r="M123" s="3">
        <v>435</v>
      </c>
      <c r="N123" s="3" t="s">
        <v>13</v>
      </c>
      <c r="O123" s="3" t="str">
        <f t="shared" si="1"/>
        <v>YES</v>
      </c>
      <c r="P123" s="3" t="s">
        <v>170</v>
      </c>
      <c r="Q123" s="3" t="s">
        <v>15</v>
      </c>
    </row>
    <row r="124" spans="1:17" x14ac:dyDescent="0.25">
      <c r="A124" s="2">
        <v>45713</v>
      </c>
      <c r="B124" s="2" t="s">
        <v>500</v>
      </c>
      <c r="C124" s="2" t="s">
        <v>493</v>
      </c>
      <c r="D124" s="3" t="s">
        <v>22</v>
      </c>
      <c r="E124" s="3" t="s">
        <v>58</v>
      </c>
      <c r="F124" s="3" t="s">
        <v>33</v>
      </c>
      <c r="G124" s="3" t="s">
        <v>34</v>
      </c>
      <c r="H124" s="3">
        <v>2</v>
      </c>
      <c r="I124" s="4">
        <v>67.5</v>
      </c>
      <c r="J124" s="3">
        <v>50</v>
      </c>
      <c r="K124" s="3">
        <v>0</v>
      </c>
      <c r="L124" s="3">
        <v>100</v>
      </c>
      <c r="M124" s="3">
        <v>-35</v>
      </c>
      <c r="N124" s="3" t="s">
        <v>19</v>
      </c>
      <c r="O124" s="3" t="str">
        <f t="shared" si="1"/>
        <v>NO</v>
      </c>
      <c r="P124" s="3" t="s">
        <v>171</v>
      </c>
      <c r="Q124" s="3" t="s">
        <v>37</v>
      </c>
    </row>
    <row r="125" spans="1:17" x14ac:dyDescent="0.25">
      <c r="A125" s="2">
        <v>45757</v>
      </c>
      <c r="B125" s="2" t="s">
        <v>486</v>
      </c>
      <c r="C125" s="2" t="s">
        <v>496</v>
      </c>
      <c r="D125" s="3" t="s">
        <v>38</v>
      </c>
      <c r="E125" s="3" t="s">
        <v>10</v>
      </c>
      <c r="F125" s="3" t="s">
        <v>24</v>
      </c>
      <c r="G125" s="3" t="s">
        <v>81</v>
      </c>
      <c r="H125" s="3">
        <v>3</v>
      </c>
      <c r="I125" s="4">
        <v>67.5</v>
      </c>
      <c r="J125" s="3">
        <v>150</v>
      </c>
      <c r="K125" s="3">
        <v>0</v>
      </c>
      <c r="L125" s="3">
        <v>450</v>
      </c>
      <c r="M125" s="3">
        <v>247.5</v>
      </c>
      <c r="N125" s="3" t="s">
        <v>13</v>
      </c>
      <c r="O125" s="3" t="str">
        <f t="shared" si="1"/>
        <v>NO</v>
      </c>
      <c r="P125" s="3" t="s">
        <v>172</v>
      </c>
      <c r="Q125" s="3" t="s">
        <v>45</v>
      </c>
    </row>
    <row r="126" spans="1:17" x14ac:dyDescent="0.25">
      <c r="A126" s="2">
        <v>45763</v>
      </c>
      <c r="B126" s="2" t="s">
        <v>486</v>
      </c>
      <c r="C126" s="2" t="s">
        <v>487</v>
      </c>
      <c r="D126" s="3" t="s">
        <v>38</v>
      </c>
      <c r="E126" s="3" t="s">
        <v>58</v>
      </c>
      <c r="F126" s="3" t="s">
        <v>24</v>
      </c>
      <c r="G126" s="3" t="s">
        <v>25</v>
      </c>
      <c r="H126" s="3">
        <v>5</v>
      </c>
      <c r="I126" s="4">
        <v>67.5</v>
      </c>
      <c r="J126" s="3">
        <v>150</v>
      </c>
      <c r="K126" s="3">
        <v>10</v>
      </c>
      <c r="L126" s="3">
        <v>675</v>
      </c>
      <c r="M126" s="3">
        <v>337.5</v>
      </c>
      <c r="N126" s="3" t="s">
        <v>35</v>
      </c>
      <c r="O126" s="3" t="str">
        <f t="shared" si="1"/>
        <v>YES</v>
      </c>
      <c r="P126" s="3" t="s">
        <v>173</v>
      </c>
      <c r="Q126" s="3" t="s">
        <v>61</v>
      </c>
    </row>
    <row r="127" spans="1:17" x14ac:dyDescent="0.25">
      <c r="A127" s="2">
        <v>45673</v>
      </c>
      <c r="B127" s="2" t="s">
        <v>489</v>
      </c>
      <c r="C127" s="2" t="s">
        <v>496</v>
      </c>
      <c r="D127" s="3" t="s">
        <v>9</v>
      </c>
      <c r="E127" s="3" t="s">
        <v>23</v>
      </c>
      <c r="F127" s="3" t="s">
        <v>17</v>
      </c>
      <c r="G127" s="3" t="s">
        <v>77</v>
      </c>
      <c r="H127" s="3">
        <v>3</v>
      </c>
      <c r="I127" s="4">
        <v>30</v>
      </c>
      <c r="J127" s="3">
        <v>150</v>
      </c>
      <c r="K127" s="3">
        <v>20</v>
      </c>
      <c r="L127" s="3">
        <v>360</v>
      </c>
      <c r="M127" s="3">
        <v>270</v>
      </c>
      <c r="N127" s="3" t="s">
        <v>13</v>
      </c>
      <c r="O127" s="3" t="str">
        <f t="shared" si="1"/>
        <v>YES</v>
      </c>
      <c r="P127" s="3" t="s">
        <v>174</v>
      </c>
      <c r="Q127" s="3" t="s">
        <v>15</v>
      </c>
    </row>
    <row r="128" spans="1:17" x14ac:dyDescent="0.25">
      <c r="A128" s="2">
        <v>45964</v>
      </c>
      <c r="B128" s="2" t="s">
        <v>485</v>
      </c>
      <c r="C128" s="2" t="s">
        <v>491</v>
      </c>
      <c r="D128" s="3" t="s">
        <v>38</v>
      </c>
      <c r="E128" s="3" t="s">
        <v>16</v>
      </c>
      <c r="F128" s="3" t="s">
        <v>33</v>
      </c>
      <c r="G128" s="3" t="s">
        <v>88</v>
      </c>
      <c r="H128" s="3">
        <v>1</v>
      </c>
      <c r="I128" s="4">
        <v>67.5</v>
      </c>
      <c r="J128" s="3">
        <v>250</v>
      </c>
      <c r="K128" s="3">
        <v>0</v>
      </c>
      <c r="L128" s="3">
        <v>250</v>
      </c>
      <c r="M128" s="3">
        <v>182.5</v>
      </c>
      <c r="N128" s="3" t="s">
        <v>19</v>
      </c>
      <c r="O128" s="3" t="str">
        <f t="shared" si="1"/>
        <v>NO</v>
      </c>
      <c r="P128" s="3" t="s">
        <v>175</v>
      </c>
      <c r="Q128" s="3" t="s">
        <v>41</v>
      </c>
    </row>
    <row r="129" spans="1:17" x14ac:dyDescent="0.25">
      <c r="A129" s="2">
        <v>45787</v>
      </c>
      <c r="B129" s="2" t="s">
        <v>492</v>
      </c>
      <c r="C129" s="2" t="s">
        <v>490</v>
      </c>
      <c r="D129" s="3" t="s">
        <v>38</v>
      </c>
      <c r="E129" s="3" t="s">
        <v>16</v>
      </c>
      <c r="F129" s="3" t="s">
        <v>29</v>
      </c>
      <c r="G129" s="3" t="s">
        <v>83</v>
      </c>
      <c r="H129" s="3">
        <v>2</v>
      </c>
      <c r="I129" s="4">
        <v>60</v>
      </c>
      <c r="J129" s="3">
        <v>150</v>
      </c>
      <c r="K129" s="3">
        <v>15</v>
      </c>
      <c r="L129" s="3">
        <v>255</v>
      </c>
      <c r="M129" s="3">
        <v>135</v>
      </c>
      <c r="N129" s="3" t="s">
        <v>19</v>
      </c>
      <c r="O129" s="3" t="str">
        <f t="shared" si="1"/>
        <v>YES</v>
      </c>
      <c r="P129" s="3" t="s">
        <v>176</v>
      </c>
      <c r="Q129" s="3" t="s">
        <v>41</v>
      </c>
    </row>
    <row r="130" spans="1:17" x14ac:dyDescent="0.25">
      <c r="A130" s="2">
        <v>45948</v>
      </c>
      <c r="B130" s="2" t="s">
        <v>499</v>
      </c>
      <c r="C130" s="2" t="s">
        <v>490</v>
      </c>
      <c r="D130" s="3" t="s">
        <v>27</v>
      </c>
      <c r="E130" s="3" t="s">
        <v>39</v>
      </c>
      <c r="F130" s="3" t="s">
        <v>33</v>
      </c>
      <c r="G130" s="3" t="s">
        <v>63</v>
      </c>
      <c r="H130" s="3">
        <v>5</v>
      </c>
      <c r="I130" s="4">
        <v>90</v>
      </c>
      <c r="J130" s="3">
        <v>150</v>
      </c>
      <c r="K130" s="3">
        <v>5</v>
      </c>
      <c r="L130" s="3">
        <v>712.5</v>
      </c>
      <c r="M130" s="3">
        <v>262.5</v>
      </c>
      <c r="N130" s="3" t="s">
        <v>19</v>
      </c>
      <c r="O130" s="3" t="str">
        <f t="shared" si="1"/>
        <v>YES</v>
      </c>
      <c r="P130" s="3" t="s">
        <v>177</v>
      </c>
      <c r="Q130" s="3" t="s">
        <v>41</v>
      </c>
    </row>
    <row r="131" spans="1:17" x14ac:dyDescent="0.25">
      <c r="A131" s="2">
        <v>45973</v>
      </c>
      <c r="B131" s="2" t="s">
        <v>485</v>
      </c>
      <c r="C131" s="2" t="s">
        <v>487</v>
      </c>
      <c r="D131" s="3" t="s">
        <v>38</v>
      </c>
      <c r="E131" s="3" t="s">
        <v>39</v>
      </c>
      <c r="F131" s="3" t="s">
        <v>33</v>
      </c>
      <c r="G131" s="3" t="s">
        <v>50</v>
      </c>
      <c r="H131" s="3">
        <v>5</v>
      </c>
      <c r="I131" s="4">
        <v>90</v>
      </c>
      <c r="J131" s="3">
        <v>200</v>
      </c>
      <c r="K131" s="3">
        <v>10</v>
      </c>
      <c r="L131" s="3">
        <v>900</v>
      </c>
      <c r="M131" s="3">
        <v>450</v>
      </c>
      <c r="N131" s="3" t="s">
        <v>35</v>
      </c>
      <c r="O131" s="3" t="str">
        <f t="shared" ref="O131:O194" si="2">IF(K131&gt;0,"YES","NO")</f>
        <v>YES</v>
      </c>
      <c r="P131" s="3" t="s">
        <v>178</v>
      </c>
      <c r="Q131" s="3" t="s">
        <v>41</v>
      </c>
    </row>
    <row r="132" spans="1:17" x14ac:dyDescent="0.25">
      <c r="A132" s="2">
        <v>45939</v>
      </c>
      <c r="B132" s="2" t="s">
        <v>499</v>
      </c>
      <c r="C132" s="2" t="s">
        <v>496</v>
      </c>
      <c r="D132" s="3" t="s">
        <v>9</v>
      </c>
      <c r="E132" s="3" t="s">
        <v>23</v>
      </c>
      <c r="F132" s="3" t="s">
        <v>24</v>
      </c>
      <c r="G132" s="3" t="s">
        <v>25</v>
      </c>
      <c r="H132" s="3">
        <v>1</v>
      </c>
      <c r="I132" s="4">
        <v>90</v>
      </c>
      <c r="J132" s="3">
        <v>200</v>
      </c>
      <c r="K132" s="3">
        <v>0</v>
      </c>
      <c r="L132" s="3">
        <v>200</v>
      </c>
      <c r="M132" s="3">
        <v>110</v>
      </c>
      <c r="N132" s="3" t="s">
        <v>13</v>
      </c>
      <c r="O132" s="3" t="str">
        <f t="shared" si="2"/>
        <v>NO</v>
      </c>
      <c r="P132" s="3" t="s">
        <v>179</v>
      </c>
      <c r="Q132" s="3" t="s">
        <v>41</v>
      </c>
    </row>
    <row r="133" spans="1:17" x14ac:dyDescent="0.25">
      <c r="A133" s="2">
        <v>45828</v>
      </c>
      <c r="B133" s="2" t="s">
        <v>497</v>
      </c>
      <c r="C133" s="2" t="s">
        <v>484</v>
      </c>
      <c r="D133" s="3" t="s">
        <v>32</v>
      </c>
      <c r="E133" s="3" t="s">
        <v>39</v>
      </c>
      <c r="F133" s="3" t="s">
        <v>11</v>
      </c>
      <c r="G133" s="3" t="s">
        <v>105</v>
      </c>
      <c r="H133" s="3">
        <v>5</v>
      </c>
      <c r="I133" s="4">
        <v>45</v>
      </c>
      <c r="J133" s="3">
        <v>150</v>
      </c>
      <c r="K133" s="3">
        <v>15</v>
      </c>
      <c r="L133" s="3">
        <v>637.5</v>
      </c>
      <c r="M133" s="3">
        <v>412.5</v>
      </c>
      <c r="N133" s="3" t="s">
        <v>13</v>
      </c>
      <c r="O133" s="3" t="str">
        <f t="shared" si="2"/>
        <v>YES</v>
      </c>
      <c r="P133" s="3" t="s">
        <v>180</v>
      </c>
      <c r="Q133" s="3" t="s">
        <v>21</v>
      </c>
    </row>
    <row r="134" spans="1:17" x14ac:dyDescent="0.25">
      <c r="A134" s="2">
        <v>45660</v>
      </c>
      <c r="B134" s="2" t="s">
        <v>489</v>
      </c>
      <c r="C134" s="2" t="s">
        <v>484</v>
      </c>
      <c r="D134" s="3" t="s">
        <v>27</v>
      </c>
      <c r="E134" s="3" t="s">
        <v>28</v>
      </c>
      <c r="F134" s="3" t="s">
        <v>17</v>
      </c>
      <c r="G134" s="3" t="s">
        <v>107</v>
      </c>
      <c r="H134" s="3">
        <v>10</v>
      </c>
      <c r="I134" s="4">
        <v>30</v>
      </c>
      <c r="J134" s="3">
        <v>150</v>
      </c>
      <c r="K134" s="3">
        <v>0</v>
      </c>
      <c r="L134" s="3">
        <v>1500</v>
      </c>
      <c r="M134" s="3">
        <v>1200</v>
      </c>
      <c r="N134" s="3" t="s">
        <v>35</v>
      </c>
      <c r="O134" s="3" t="str">
        <f t="shared" si="2"/>
        <v>NO</v>
      </c>
      <c r="P134" s="3" t="s">
        <v>181</v>
      </c>
      <c r="Q134" s="3" t="s">
        <v>45</v>
      </c>
    </row>
    <row r="135" spans="1:17" x14ac:dyDescent="0.25">
      <c r="A135" s="2">
        <v>45793</v>
      </c>
      <c r="B135" s="2" t="s">
        <v>492</v>
      </c>
      <c r="C135" s="2" t="s">
        <v>484</v>
      </c>
      <c r="D135" s="3" t="s">
        <v>9</v>
      </c>
      <c r="E135" s="3" t="s">
        <v>70</v>
      </c>
      <c r="F135" s="3" t="s">
        <v>33</v>
      </c>
      <c r="G135" s="3" t="s">
        <v>88</v>
      </c>
      <c r="H135" s="3">
        <v>5</v>
      </c>
      <c r="I135" s="4">
        <v>22.5</v>
      </c>
      <c r="J135" s="3">
        <v>150</v>
      </c>
      <c r="K135" s="3">
        <v>0</v>
      </c>
      <c r="L135" s="3">
        <v>750</v>
      </c>
      <c r="M135" s="3">
        <v>637.5</v>
      </c>
      <c r="N135" s="3" t="s">
        <v>13</v>
      </c>
      <c r="O135" s="3" t="str">
        <f t="shared" si="2"/>
        <v>NO</v>
      </c>
      <c r="P135" s="3" t="s">
        <v>148</v>
      </c>
      <c r="Q135" s="3" t="s">
        <v>21</v>
      </c>
    </row>
    <row r="136" spans="1:17" x14ac:dyDescent="0.25">
      <c r="A136" s="2">
        <v>45870</v>
      </c>
      <c r="B136" s="2" t="s">
        <v>495</v>
      </c>
      <c r="C136" s="2" t="s">
        <v>484</v>
      </c>
      <c r="D136" s="3" t="s">
        <v>27</v>
      </c>
      <c r="E136" s="3" t="s">
        <v>16</v>
      </c>
      <c r="F136" s="3" t="s">
        <v>29</v>
      </c>
      <c r="G136" s="3" t="s">
        <v>30</v>
      </c>
      <c r="H136" s="3">
        <v>2</v>
      </c>
      <c r="I136" s="4">
        <v>20</v>
      </c>
      <c r="J136" s="3">
        <v>50</v>
      </c>
      <c r="K136" s="3">
        <v>0</v>
      </c>
      <c r="L136" s="3">
        <v>100</v>
      </c>
      <c r="M136" s="3">
        <v>60</v>
      </c>
      <c r="N136" s="3" t="s">
        <v>35</v>
      </c>
      <c r="O136" s="3" t="str">
        <f t="shared" si="2"/>
        <v>NO</v>
      </c>
      <c r="P136" s="3" t="s">
        <v>179</v>
      </c>
      <c r="Q136" s="3" t="s">
        <v>45</v>
      </c>
    </row>
    <row r="137" spans="1:17" x14ac:dyDescent="0.25">
      <c r="A137" s="2">
        <v>45815</v>
      </c>
      <c r="B137" s="2" t="s">
        <v>497</v>
      </c>
      <c r="C137" s="2" t="s">
        <v>490</v>
      </c>
      <c r="D137" s="3" t="s">
        <v>9</v>
      </c>
      <c r="E137" s="3" t="s">
        <v>28</v>
      </c>
      <c r="F137" s="3" t="s">
        <v>33</v>
      </c>
      <c r="G137" s="3" t="s">
        <v>63</v>
      </c>
      <c r="H137" s="3">
        <v>1</v>
      </c>
      <c r="I137" s="4">
        <v>90</v>
      </c>
      <c r="J137" s="3">
        <v>50</v>
      </c>
      <c r="K137" s="3">
        <v>10</v>
      </c>
      <c r="L137" s="3">
        <v>45</v>
      </c>
      <c r="M137" s="3">
        <v>-45</v>
      </c>
      <c r="N137" s="3" t="s">
        <v>35</v>
      </c>
      <c r="O137" s="3" t="str">
        <f t="shared" si="2"/>
        <v>YES</v>
      </c>
      <c r="P137" s="3" t="s">
        <v>182</v>
      </c>
      <c r="Q137" s="3" t="s">
        <v>37</v>
      </c>
    </row>
    <row r="138" spans="1:17" x14ac:dyDescent="0.25">
      <c r="A138" s="2">
        <v>45832</v>
      </c>
      <c r="B138" s="2" t="s">
        <v>497</v>
      </c>
      <c r="C138" s="2" t="s">
        <v>493</v>
      </c>
      <c r="D138" s="3" t="s">
        <v>22</v>
      </c>
      <c r="E138" s="3" t="s">
        <v>16</v>
      </c>
      <c r="F138" s="3" t="s">
        <v>17</v>
      </c>
      <c r="G138" s="3" t="s">
        <v>77</v>
      </c>
      <c r="H138" s="3">
        <v>3</v>
      </c>
      <c r="I138" s="4">
        <v>40</v>
      </c>
      <c r="J138" s="3">
        <v>200</v>
      </c>
      <c r="K138" s="3">
        <v>0</v>
      </c>
      <c r="L138" s="3">
        <v>600</v>
      </c>
      <c r="M138" s="3">
        <v>480</v>
      </c>
      <c r="N138" s="3" t="s">
        <v>13</v>
      </c>
      <c r="O138" s="3" t="str">
        <f t="shared" si="2"/>
        <v>NO</v>
      </c>
      <c r="P138" s="3" t="s">
        <v>183</v>
      </c>
      <c r="Q138" s="3" t="s">
        <v>45</v>
      </c>
    </row>
    <row r="139" spans="1:17" x14ac:dyDescent="0.25">
      <c r="A139" s="2">
        <v>45689</v>
      </c>
      <c r="B139" s="2" t="s">
        <v>500</v>
      </c>
      <c r="C139" s="2" t="s">
        <v>490</v>
      </c>
      <c r="D139" s="3" t="s">
        <v>27</v>
      </c>
      <c r="E139" s="3" t="s">
        <v>58</v>
      </c>
      <c r="F139" s="3" t="s">
        <v>33</v>
      </c>
      <c r="G139" s="3" t="s">
        <v>88</v>
      </c>
      <c r="H139" s="3">
        <v>1</v>
      </c>
      <c r="I139" s="4">
        <v>67.5</v>
      </c>
      <c r="J139" s="3">
        <v>150</v>
      </c>
      <c r="K139" s="3">
        <v>0</v>
      </c>
      <c r="L139" s="3">
        <v>150</v>
      </c>
      <c r="M139" s="3">
        <v>82.5</v>
      </c>
      <c r="N139" s="3" t="s">
        <v>35</v>
      </c>
      <c r="O139" s="3" t="str">
        <f t="shared" si="2"/>
        <v>NO</v>
      </c>
      <c r="P139" s="3" t="s">
        <v>184</v>
      </c>
      <c r="Q139" s="3" t="s">
        <v>15</v>
      </c>
    </row>
    <row r="140" spans="1:17" x14ac:dyDescent="0.25">
      <c r="A140" s="2">
        <v>45910</v>
      </c>
      <c r="B140" s="2" t="s">
        <v>483</v>
      </c>
      <c r="C140" s="2" t="s">
        <v>487</v>
      </c>
      <c r="D140" s="3" t="s">
        <v>38</v>
      </c>
      <c r="E140" s="3" t="s">
        <v>58</v>
      </c>
      <c r="F140" s="3" t="s">
        <v>29</v>
      </c>
      <c r="G140" s="3" t="s">
        <v>54</v>
      </c>
      <c r="H140" s="3">
        <v>3</v>
      </c>
      <c r="I140" s="4">
        <v>60</v>
      </c>
      <c r="J140" s="3">
        <v>150</v>
      </c>
      <c r="K140" s="3">
        <v>5</v>
      </c>
      <c r="L140" s="3">
        <v>427.5</v>
      </c>
      <c r="M140" s="3">
        <v>247.5</v>
      </c>
      <c r="N140" s="3" t="s">
        <v>13</v>
      </c>
      <c r="O140" s="3" t="str">
        <f t="shared" si="2"/>
        <v>YES</v>
      </c>
      <c r="P140" s="3" t="s">
        <v>102</v>
      </c>
      <c r="Q140" s="3" t="s">
        <v>37</v>
      </c>
    </row>
    <row r="141" spans="1:17" x14ac:dyDescent="0.25">
      <c r="A141" s="2">
        <v>45843</v>
      </c>
      <c r="B141" s="2" t="s">
        <v>501</v>
      </c>
      <c r="C141" s="2" t="s">
        <v>490</v>
      </c>
      <c r="D141" s="3" t="s">
        <v>38</v>
      </c>
      <c r="E141" s="3" t="s">
        <v>28</v>
      </c>
      <c r="F141" s="3" t="s">
        <v>17</v>
      </c>
      <c r="G141" s="3" t="s">
        <v>56</v>
      </c>
      <c r="H141" s="3">
        <v>3</v>
      </c>
      <c r="I141" s="4">
        <v>30</v>
      </c>
      <c r="J141" s="3">
        <v>150</v>
      </c>
      <c r="K141" s="3">
        <v>0</v>
      </c>
      <c r="L141" s="3">
        <v>450</v>
      </c>
      <c r="M141" s="3">
        <v>360</v>
      </c>
      <c r="N141" s="3" t="s">
        <v>13</v>
      </c>
      <c r="O141" s="3" t="str">
        <f t="shared" si="2"/>
        <v>NO</v>
      </c>
      <c r="P141" s="3" t="s">
        <v>185</v>
      </c>
      <c r="Q141" s="3" t="s">
        <v>15</v>
      </c>
    </row>
    <row r="142" spans="1:17" x14ac:dyDescent="0.25">
      <c r="A142" s="2">
        <v>45731</v>
      </c>
      <c r="B142" s="2" t="s">
        <v>494</v>
      </c>
      <c r="C142" s="2" t="s">
        <v>490</v>
      </c>
      <c r="D142" s="3" t="s">
        <v>9</v>
      </c>
      <c r="E142" s="3" t="s">
        <v>58</v>
      </c>
      <c r="F142" s="3" t="s">
        <v>33</v>
      </c>
      <c r="G142" s="3" t="s">
        <v>50</v>
      </c>
      <c r="H142" s="3">
        <v>10</v>
      </c>
      <c r="I142" s="4">
        <v>67.5</v>
      </c>
      <c r="J142" s="3">
        <v>50</v>
      </c>
      <c r="K142" s="3">
        <v>5</v>
      </c>
      <c r="L142" s="3">
        <v>475</v>
      </c>
      <c r="M142" s="3">
        <v>-200</v>
      </c>
      <c r="N142" s="3" t="s">
        <v>35</v>
      </c>
      <c r="O142" s="3" t="str">
        <f t="shared" si="2"/>
        <v>YES</v>
      </c>
      <c r="P142" s="3" t="s">
        <v>186</v>
      </c>
      <c r="Q142" s="3" t="s">
        <v>15</v>
      </c>
    </row>
    <row r="143" spans="1:17" x14ac:dyDescent="0.25">
      <c r="A143" s="2">
        <v>45861</v>
      </c>
      <c r="B143" s="2" t="s">
        <v>501</v>
      </c>
      <c r="C143" s="2" t="s">
        <v>487</v>
      </c>
      <c r="D143" s="3" t="s">
        <v>38</v>
      </c>
      <c r="E143" s="3" t="s">
        <v>58</v>
      </c>
      <c r="F143" s="3" t="s">
        <v>17</v>
      </c>
      <c r="G143" s="3" t="s">
        <v>68</v>
      </c>
      <c r="H143" s="3">
        <v>5</v>
      </c>
      <c r="I143" s="4">
        <v>30</v>
      </c>
      <c r="J143" s="3">
        <v>150</v>
      </c>
      <c r="K143" s="3">
        <v>10</v>
      </c>
      <c r="L143" s="3">
        <v>675</v>
      </c>
      <c r="M143" s="3">
        <v>525</v>
      </c>
      <c r="N143" s="3" t="s">
        <v>19</v>
      </c>
      <c r="O143" s="3" t="str">
        <f t="shared" si="2"/>
        <v>YES</v>
      </c>
      <c r="P143" s="3" t="s">
        <v>187</v>
      </c>
      <c r="Q143" s="3" t="s">
        <v>45</v>
      </c>
    </row>
    <row r="144" spans="1:17" x14ac:dyDescent="0.25">
      <c r="A144" s="2">
        <v>45998</v>
      </c>
      <c r="B144" s="2" t="s">
        <v>498</v>
      </c>
      <c r="C144" s="2" t="s">
        <v>488</v>
      </c>
      <c r="D144" s="3" t="s">
        <v>9</v>
      </c>
      <c r="E144" s="3" t="s">
        <v>16</v>
      </c>
      <c r="F144" s="3" t="s">
        <v>29</v>
      </c>
      <c r="G144" s="3" t="s">
        <v>54</v>
      </c>
      <c r="H144" s="3">
        <v>10</v>
      </c>
      <c r="I144" s="4">
        <v>20</v>
      </c>
      <c r="J144" s="3">
        <v>250</v>
      </c>
      <c r="K144" s="3">
        <v>5</v>
      </c>
      <c r="L144" s="3">
        <v>2375</v>
      </c>
      <c r="M144" s="3">
        <v>2175</v>
      </c>
      <c r="N144" s="3" t="s">
        <v>13</v>
      </c>
      <c r="O144" s="3" t="str">
        <f t="shared" si="2"/>
        <v>YES</v>
      </c>
      <c r="P144" s="3" t="s">
        <v>167</v>
      </c>
      <c r="Q144" s="3" t="s">
        <v>15</v>
      </c>
    </row>
    <row r="145" spans="1:17" x14ac:dyDescent="0.25">
      <c r="A145" s="2">
        <v>46012</v>
      </c>
      <c r="B145" s="2" t="s">
        <v>498</v>
      </c>
      <c r="C145" s="2" t="s">
        <v>488</v>
      </c>
      <c r="D145" s="3" t="s">
        <v>9</v>
      </c>
      <c r="E145" s="3" t="s">
        <v>16</v>
      </c>
      <c r="F145" s="3" t="s">
        <v>24</v>
      </c>
      <c r="G145" s="3" t="s">
        <v>81</v>
      </c>
      <c r="H145" s="3">
        <v>2</v>
      </c>
      <c r="I145" s="4">
        <v>22.5</v>
      </c>
      <c r="J145" s="3">
        <v>50</v>
      </c>
      <c r="K145" s="3">
        <v>0</v>
      </c>
      <c r="L145" s="3">
        <v>100</v>
      </c>
      <c r="M145" s="3">
        <v>55</v>
      </c>
      <c r="N145" s="3" t="s">
        <v>35</v>
      </c>
      <c r="O145" s="3" t="str">
        <f t="shared" si="2"/>
        <v>NO</v>
      </c>
      <c r="P145" s="3" t="s">
        <v>188</v>
      </c>
      <c r="Q145" s="3" t="s">
        <v>45</v>
      </c>
    </row>
    <row r="146" spans="1:17" x14ac:dyDescent="0.25">
      <c r="A146" s="2">
        <v>45752</v>
      </c>
      <c r="B146" s="2" t="s">
        <v>486</v>
      </c>
      <c r="C146" s="2" t="s">
        <v>490</v>
      </c>
      <c r="D146" s="3" t="s">
        <v>9</v>
      </c>
      <c r="E146" s="3" t="s">
        <v>39</v>
      </c>
      <c r="F146" s="3" t="s">
        <v>17</v>
      </c>
      <c r="G146" s="3" t="s">
        <v>107</v>
      </c>
      <c r="H146" s="3">
        <v>3</v>
      </c>
      <c r="I146" s="4">
        <v>30</v>
      </c>
      <c r="J146" s="3">
        <v>150</v>
      </c>
      <c r="K146" s="3">
        <v>0</v>
      </c>
      <c r="L146" s="3">
        <v>450</v>
      </c>
      <c r="M146" s="3">
        <v>360</v>
      </c>
      <c r="N146" s="3" t="s">
        <v>35</v>
      </c>
      <c r="O146" s="3" t="str">
        <f t="shared" si="2"/>
        <v>NO</v>
      </c>
      <c r="P146" s="3" t="s">
        <v>189</v>
      </c>
      <c r="Q146" s="3" t="s">
        <v>37</v>
      </c>
    </row>
    <row r="147" spans="1:17" x14ac:dyDescent="0.25">
      <c r="A147" s="2">
        <v>45866</v>
      </c>
      <c r="B147" s="2" t="s">
        <v>501</v>
      </c>
      <c r="C147" s="2" t="s">
        <v>491</v>
      </c>
      <c r="D147" s="3" t="s">
        <v>9</v>
      </c>
      <c r="E147" s="3" t="s">
        <v>16</v>
      </c>
      <c r="F147" s="3" t="s">
        <v>17</v>
      </c>
      <c r="G147" s="3" t="s">
        <v>77</v>
      </c>
      <c r="H147" s="3">
        <v>2</v>
      </c>
      <c r="I147" s="4">
        <v>10</v>
      </c>
      <c r="J147" s="3">
        <v>50</v>
      </c>
      <c r="K147" s="3">
        <v>0</v>
      </c>
      <c r="L147" s="3">
        <v>100</v>
      </c>
      <c r="M147" s="3">
        <v>80</v>
      </c>
      <c r="N147" s="3" t="s">
        <v>19</v>
      </c>
      <c r="O147" s="3" t="str">
        <f t="shared" si="2"/>
        <v>NO</v>
      </c>
      <c r="P147" s="3" t="s">
        <v>190</v>
      </c>
      <c r="Q147" s="3" t="s">
        <v>61</v>
      </c>
    </row>
    <row r="148" spans="1:17" x14ac:dyDescent="0.25">
      <c r="A148" s="2">
        <v>45965</v>
      </c>
      <c r="B148" s="2" t="s">
        <v>485</v>
      </c>
      <c r="C148" s="2" t="s">
        <v>493</v>
      </c>
      <c r="D148" s="3" t="s">
        <v>27</v>
      </c>
      <c r="E148" s="3" t="s">
        <v>58</v>
      </c>
      <c r="F148" s="3" t="s">
        <v>24</v>
      </c>
      <c r="G148" s="3" t="s">
        <v>25</v>
      </c>
      <c r="H148" s="3">
        <v>5</v>
      </c>
      <c r="I148" s="4">
        <v>90</v>
      </c>
      <c r="J148" s="3">
        <v>200</v>
      </c>
      <c r="K148" s="3">
        <v>5</v>
      </c>
      <c r="L148" s="3">
        <v>950</v>
      </c>
      <c r="M148" s="3">
        <v>500</v>
      </c>
      <c r="N148" s="3" t="s">
        <v>13</v>
      </c>
      <c r="O148" s="3" t="str">
        <f t="shared" si="2"/>
        <v>YES</v>
      </c>
      <c r="P148" s="3" t="s">
        <v>191</v>
      </c>
      <c r="Q148" s="3" t="s">
        <v>41</v>
      </c>
    </row>
    <row r="149" spans="1:17" x14ac:dyDescent="0.25">
      <c r="A149" s="2">
        <v>45889</v>
      </c>
      <c r="B149" s="2" t="s">
        <v>495</v>
      </c>
      <c r="C149" s="2" t="s">
        <v>487</v>
      </c>
      <c r="D149" s="3" t="s">
        <v>32</v>
      </c>
      <c r="E149" s="3" t="s">
        <v>16</v>
      </c>
      <c r="F149" s="3" t="s">
        <v>24</v>
      </c>
      <c r="G149" s="3" t="s">
        <v>42</v>
      </c>
      <c r="H149" s="3">
        <v>2</v>
      </c>
      <c r="I149" s="4">
        <v>22.5</v>
      </c>
      <c r="J149" s="3">
        <v>50</v>
      </c>
      <c r="K149" s="3">
        <v>15</v>
      </c>
      <c r="L149" s="3">
        <v>85</v>
      </c>
      <c r="M149" s="3">
        <v>40</v>
      </c>
      <c r="N149" s="3" t="s">
        <v>13</v>
      </c>
      <c r="O149" s="3" t="str">
        <f t="shared" si="2"/>
        <v>YES</v>
      </c>
      <c r="P149" s="3" t="s">
        <v>192</v>
      </c>
      <c r="Q149" s="3" t="s">
        <v>61</v>
      </c>
    </row>
    <row r="150" spans="1:17" x14ac:dyDescent="0.25">
      <c r="A150" s="2">
        <v>45736</v>
      </c>
      <c r="B150" s="2" t="s">
        <v>494</v>
      </c>
      <c r="C150" s="2" t="s">
        <v>496</v>
      </c>
      <c r="D150" s="3" t="s">
        <v>38</v>
      </c>
      <c r="E150" s="3" t="s">
        <v>10</v>
      </c>
      <c r="F150" s="3" t="s">
        <v>11</v>
      </c>
      <c r="G150" s="3" t="s">
        <v>131</v>
      </c>
      <c r="H150" s="3">
        <v>2</v>
      </c>
      <c r="I150" s="4">
        <v>30</v>
      </c>
      <c r="J150" s="3">
        <v>100</v>
      </c>
      <c r="K150" s="3">
        <v>20</v>
      </c>
      <c r="L150" s="3">
        <v>160</v>
      </c>
      <c r="M150" s="3">
        <v>100</v>
      </c>
      <c r="N150" s="3" t="s">
        <v>19</v>
      </c>
      <c r="O150" s="3" t="str">
        <f t="shared" si="2"/>
        <v>YES</v>
      </c>
      <c r="P150" s="3" t="s">
        <v>193</v>
      </c>
      <c r="Q150" s="3" t="s">
        <v>15</v>
      </c>
    </row>
    <row r="151" spans="1:17" x14ac:dyDescent="0.25">
      <c r="A151" s="2">
        <v>45853</v>
      </c>
      <c r="B151" s="2" t="s">
        <v>501</v>
      </c>
      <c r="C151" s="2" t="s">
        <v>493</v>
      </c>
      <c r="D151" s="3" t="s">
        <v>9</v>
      </c>
      <c r="E151" s="3" t="s">
        <v>39</v>
      </c>
      <c r="F151" s="3" t="s">
        <v>17</v>
      </c>
      <c r="G151" s="3" t="s">
        <v>18</v>
      </c>
      <c r="H151" s="3">
        <v>10</v>
      </c>
      <c r="I151" s="4">
        <v>30</v>
      </c>
      <c r="J151" s="3">
        <v>150</v>
      </c>
      <c r="K151" s="3">
        <v>20</v>
      </c>
      <c r="L151" s="3">
        <v>1200</v>
      </c>
      <c r="M151" s="3">
        <v>900</v>
      </c>
      <c r="N151" s="3" t="s">
        <v>35</v>
      </c>
      <c r="O151" s="3" t="str">
        <f t="shared" si="2"/>
        <v>YES</v>
      </c>
      <c r="P151" s="3" t="s">
        <v>194</v>
      </c>
      <c r="Q151" s="3" t="s">
        <v>61</v>
      </c>
    </row>
    <row r="152" spans="1:17" x14ac:dyDescent="0.25">
      <c r="A152" s="2">
        <v>45707</v>
      </c>
      <c r="B152" s="2" t="s">
        <v>500</v>
      </c>
      <c r="C152" s="2" t="s">
        <v>487</v>
      </c>
      <c r="D152" s="3" t="s">
        <v>9</v>
      </c>
      <c r="E152" s="3" t="s">
        <v>16</v>
      </c>
      <c r="F152" s="3" t="s">
        <v>33</v>
      </c>
      <c r="G152" s="3" t="s">
        <v>79</v>
      </c>
      <c r="H152" s="3">
        <v>10</v>
      </c>
      <c r="I152" s="4">
        <v>90</v>
      </c>
      <c r="J152" s="3">
        <v>50</v>
      </c>
      <c r="K152" s="3">
        <v>15</v>
      </c>
      <c r="L152" s="3">
        <v>425</v>
      </c>
      <c r="M152" s="3">
        <v>-475</v>
      </c>
      <c r="N152" s="3" t="s">
        <v>13</v>
      </c>
      <c r="O152" s="3" t="str">
        <f t="shared" si="2"/>
        <v>YES</v>
      </c>
      <c r="P152" s="3" t="s">
        <v>195</v>
      </c>
      <c r="Q152" s="3" t="s">
        <v>45</v>
      </c>
    </row>
    <row r="153" spans="1:17" x14ac:dyDescent="0.25">
      <c r="A153" s="2">
        <v>45951</v>
      </c>
      <c r="B153" s="2" t="s">
        <v>499</v>
      </c>
      <c r="C153" s="2" t="s">
        <v>493</v>
      </c>
      <c r="D153" s="3" t="s">
        <v>27</v>
      </c>
      <c r="E153" s="3" t="s">
        <v>70</v>
      </c>
      <c r="F153" s="3" t="s">
        <v>11</v>
      </c>
      <c r="G153" s="3" t="s">
        <v>59</v>
      </c>
      <c r="H153" s="3">
        <v>3</v>
      </c>
      <c r="I153" s="4">
        <v>60</v>
      </c>
      <c r="J153" s="3">
        <v>200</v>
      </c>
      <c r="K153" s="3">
        <v>20</v>
      </c>
      <c r="L153" s="3">
        <v>480</v>
      </c>
      <c r="M153" s="3">
        <v>300</v>
      </c>
      <c r="N153" s="3" t="s">
        <v>13</v>
      </c>
      <c r="O153" s="3" t="str">
        <f t="shared" si="2"/>
        <v>YES</v>
      </c>
      <c r="P153" s="3" t="s">
        <v>196</v>
      </c>
      <c r="Q153" s="3" t="s">
        <v>15</v>
      </c>
    </row>
    <row r="154" spans="1:17" x14ac:dyDescent="0.25">
      <c r="A154" s="2">
        <v>45939</v>
      </c>
      <c r="B154" s="2" t="s">
        <v>499</v>
      </c>
      <c r="C154" s="2" t="s">
        <v>496</v>
      </c>
      <c r="D154" s="3" t="s">
        <v>32</v>
      </c>
      <c r="E154" s="3" t="s">
        <v>70</v>
      </c>
      <c r="F154" s="3" t="s">
        <v>24</v>
      </c>
      <c r="G154" s="3" t="s">
        <v>25</v>
      </c>
      <c r="H154" s="3">
        <v>3</v>
      </c>
      <c r="I154" s="4">
        <v>45</v>
      </c>
      <c r="J154" s="3">
        <v>100</v>
      </c>
      <c r="K154" s="3">
        <v>10</v>
      </c>
      <c r="L154" s="3">
        <v>270</v>
      </c>
      <c r="M154" s="3">
        <v>135</v>
      </c>
      <c r="N154" s="3" t="s">
        <v>35</v>
      </c>
      <c r="O154" s="3" t="str">
        <f t="shared" si="2"/>
        <v>YES</v>
      </c>
      <c r="P154" s="3" t="s">
        <v>104</v>
      </c>
      <c r="Q154" s="3" t="s">
        <v>15</v>
      </c>
    </row>
    <row r="155" spans="1:17" x14ac:dyDescent="0.25">
      <c r="A155" s="2">
        <v>45816</v>
      </c>
      <c r="B155" s="2" t="s">
        <v>497</v>
      </c>
      <c r="C155" s="2" t="s">
        <v>488</v>
      </c>
      <c r="D155" s="3" t="s">
        <v>22</v>
      </c>
      <c r="E155" s="3" t="s">
        <v>70</v>
      </c>
      <c r="F155" s="3" t="s">
        <v>24</v>
      </c>
      <c r="G155" s="3" t="s">
        <v>71</v>
      </c>
      <c r="H155" s="3">
        <v>2</v>
      </c>
      <c r="I155" s="4">
        <v>67.5</v>
      </c>
      <c r="J155" s="3">
        <v>150</v>
      </c>
      <c r="K155" s="3">
        <v>10</v>
      </c>
      <c r="L155" s="3">
        <v>270</v>
      </c>
      <c r="M155" s="3">
        <v>135</v>
      </c>
      <c r="N155" s="3" t="s">
        <v>35</v>
      </c>
      <c r="O155" s="3" t="str">
        <f t="shared" si="2"/>
        <v>YES</v>
      </c>
      <c r="P155" s="3" t="s">
        <v>197</v>
      </c>
      <c r="Q155" s="3" t="s">
        <v>21</v>
      </c>
    </row>
    <row r="156" spans="1:17" x14ac:dyDescent="0.25">
      <c r="A156" s="2">
        <v>45984</v>
      </c>
      <c r="B156" s="2" t="s">
        <v>485</v>
      </c>
      <c r="C156" s="2" t="s">
        <v>488</v>
      </c>
      <c r="D156" s="3" t="s">
        <v>9</v>
      </c>
      <c r="E156" s="3" t="s">
        <v>23</v>
      </c>
      <c r="F156" s="3" t="s">
        <v>11</v>
      </c>
      <c r="G156" s="3" t="s">
        <v>59</v>
      </c>
      <c r="H156" s="3">
        <v>2</v>
      </c>
      <c r="I156" s="4">
        <v>45</v>
      </c>
      <c r="J156" s="3">
        <v>150</v>
      </c>
      <c r="K156" s="3">
        <v>20</v>
      </c>
      <c r="L156" s="3">
        <v>240</v>
      </c>
      <c r="M156" s="3">
        <v>150</v>
      </c>
      <c r="N156" s="3" t="s">
        <v>35</v>
      </c>
      <c r="O156" s="3" t="str">
        <f t="shared" si="2"/>
        <v>YES</v>
      </c>
      <c r="P156" s="3" t="s">
        <v>198</v>
      </c>
      <c r="Q156" s="3" t="s">
        <v>45</v>
      </c>
    </row>
    <row r="157" spans="1:17" x14ac:dyDescent="0.25">
      <c r="A157" s="2">
        <v>45790</v>
      </c>
      <c r="B157" s="2" t="s">
        <v>492</v>
      </c>
      <c r="C157" s="2" t="s">
        <v>493</v>
      </c>
      <c r="D157" s="3" t="s">
        <v>27</v>
      </c>
      <c r="E157" s="3" t="s">
        <v>70</v>
      </c>
      <c r="F157" s="3" t="s">
        <v>24</v>
      </c>
      <c r="G157" s="3" t="s">
        <v>81</v>
      </c>
      <c r="H157" s="3">
        <v>2</v>
      </c>
      <c r="I157" s="4">
        <v>45</v>
      </c>
      <c r="J157" s="3">
        <v>100</v>
      </c>
      <c r="K157" s="3">
        <v>20</v>
      </c>
      <c r="L157" s="3">
        <v>160</v>
      </c>
      <c r="M157" s="3">
        <v>70</v>
      </c>
      <c r="N157" s="3" t="s">
        <v>13</v>
      </c>
      <c r="O157" s="3" t="str">
        <f t="shared" si="2"/>
        <v>YES</v>
      </c>
      <c r="P157" s="3" t="s">
        <v>199</v>
      </c>
      <c r="Q157" s="3" t="s">
        <v>37</v>
      </c>
    </row>
    <row r="158" spans="1:17" x14ac:dyDescent="0.25">
      <c r="A158" s="2">
        <v>46004</v>
      </c>
      <c r="B158" s="2" t="s">
        <v>498</v>
      </c>
      <c r="C158" s="2" t="s">
        <v>490</v>
      </c>
      <c r="D158" s="3" t="s">
        <v>22</v>
      </c>
      <c r="E158" s="3" t="s">
        <v>70</v>
      </c>
      <c r="F158" s="3" t="s">
        <v>33</v>
      </c>
      <c r="G158" s="3" t="s">
        <v>79</v>
      </c>
      <c r="H158" s="3">
        <v>2</v>
      </c>
      <c r="I158" s="4">
        <v>90</v>
      </c>
      <c r="J158" s="3">
        <v>150</v>
      </c>
      <c r="K158" s="3">
        <v>10</v>
      </c>
      <c r="L158" s="3">
        <v>270</v>
      </c>
      <c r="M158" s="3">
        <v>90</v>
      </c>
      <c r="N158" s="3" t="s">
        <v>19</v>
      </c>
      <c r="O158" s="3" t="str">
        <f t="shared" si="2"/>
        <v>YES</v>
      </c>
      <c r="P158" s="3" t="s">
        <v>200</v>
      </c>
      <c r="Q158" s="3" t="s">
        <v>61</v>
      </c>
    </row>
    <row r="159" spans="1:17" x14ac:dyDescent="0.25">
      <c r="A159" s="2">
        <v>45682</v>
      </c>
      <c r="B159" s="2" t="s">
        <v>489</v>
      </c>
      <c r="C159" s="2" t="s">
        <v>490</v>
      </c>
      <c r="D159" s="3" t="s">
        <v>32</v>
      </c>
      <c r="E159" s="3" t="s">
        <v>16</v>
      </c>
      <c r="F159" s="3" t="s">
        <v>29</v>
      </c>
      <c r="G159" s="3" t="s">
        <v>47</v>
      </c>
      <c r="H159" s="3">
        <v>2</v>
      </c>
      <c r="I159" s="4">
        <v>20</v>
      </c>
      <c r="J159" s="3">
        <v>200</v>
      </c>
      <c r="K159" s="3">
        <v>20</v>
      </c>
      <c r="L159" s="3">
        <v>320</v>
      </c>
      <c r="M159" s="3">
        <v>280</v>
      </c>
      <c r="N159" s="3" t="s">
        <v>35</v>
      </c>
      <c r="O159" s="3" t="str">
        <f t="shared" si="2"/>
        <v>YES</v>
      </c>
      <c r="P159" s="3" t="s">
        <v>123</v>
      </c>
      <c r="Q159" s="3" t="s">
        <v>15</v>
      </c>
    </row>
    <row r="160" spans="1:17" x14ac:dyDescent="0.25">
      <c r="A160" s="2">
        <v>45845</v>
      </c>
      <c r="B160" s="2" t="s">
        <v>501</v>
      </c>
      <c r="C160" s="2" t="s">
        <v>491</v>
      </c>
      <c r="D160" s="3" t="s">
        <v>9</v>
      </c>
      <c r="E160" s="3" t="s">
        <v>39</v>
      </c>
      <c r="F160" s="3" t="s">
        <v>24</v>
      </c>
      <c r="G160" s="3" t="s">
        <v>81</v>
      </c>
      <c r="H160" s="3">
        <v>5</v>
      </c>
      <c r="I160" s="4">
        <v>22.5</v>
      </c>
      <c r="J160" s="3">
        <v>50</v>
      </c>
      <c r="K160" s="3">
        <v>0</v>
      </c>
      <c r="L160" s="3">
        <v>250</v>
      </c>
      <c r="M160" s="3">
        <v>137.5</v>
      </c>
      <c r="N160" s="3" t="s">
        <v>13</v>
      </c>
      <c r="O160" s="3" t="str">
        <f t="shared" si="2"/>
        <v>NO</v>
      </c>
      <c r="P160" s="3" t="s">
        <v>180</v>
      </c>
      <c r="Q160" s="3" t="s">
        <v>61</v>
      </c>
    </row>
    <row r="161" spans="1:17" x14ac:dyDescent="0.25">
      <c r="A161" s="2">
        <v>45879</v>
      </c>
      <c r="B161" s="2" t="s">
        <v>495</v>
      </c>
      <c r="C161" s="2" t="s">
        <v>488</v>
      </c>
      <c r="D161" s="3" t="s">
        <v>22</v>
      </c>
      <c r="E161" s="3" t="s">
        <v>70</v>
      </c>
      <c r="F161" s="3" t="s">
        <v>11</v>
      </c>
      <c r="G161" s="3" t="s">
        <v>115</v>
      </c>
      <c r="H161" s="3">
        <v>2</v>
      </c>
      <c r="I161" s="4">
        <v>45</v>
      </c>
      <c r="J161" s="3">
        <v>150</v>
      </c>
      <c r="K161" s="3">
        <v>5</v>
      </c>
      <c r="L161" s="3">
        <v>285</v>
      </c>
      <c r="M161" s="3">
        <v>195</v>
      </c>
      <c r="N161" s="3" t="s">
        <v>35</v>
      </c>
      <c r="O161" s="3" t="str">
        <f t="shared" si="2"/>
        <v>YES</v>
      </c>
      <c r="P161" s="3" t="s">
        <v>201</v>
      </c>
      <c r="Q161" s="3" t="s">
        <v>37</v>
      </c>
    </row>
    <row r="162" spans="1:17" x14ac:dyDescent="0.25">
      <c r="A162" s="2">
        <v>45756</v>
      </c>
      <c r="B162" s="2" t="s">
        <v>486</v>
      </c>
      <c r="C162" s="2" t="s">
        <v>487</v>
      </c>
      <c r="D162" s="3" t="s">
        <v>32</v>
      </c>
      <c r="E162" s="3" t="s">
        <v>39</v>
      </c>
      <c r="F162" s="3" t="s">
        <v>17</v>
      </c>
      <c r="G162" s="3" t="s">
        <v>18</v>
      </c>
      <c r="H162" s="3">
        <v>5</v>
      </c>
      <c r="I162" s="4">
        <v>40</v>
      </c>
      <c r="J162" s="3">
        <v>200</v>
      </c>
      <c r="K162" s="3">
        <v>10</v>
      </c>
      <c r="L162" s="3">
        <v>900</v>
      </c>
      <c r="M162" s="3">
        <v>700</v>
      </c>
      <c r="N162" s="3" t="s">
        <v>19</v>
      </c>
      <c r="O162" s="3" t="str">
        <f t="shared" si="2"/>
        <v>YES</v>
      </c>
      <c r="P162" s="3" t="s">
        <v>202</v>
      </c>
      <c r="Q162" s="3" t="s">
        <v>41</v>
      </c>
    </row>
    <row r="163" spans="1:17" x14ac:dyDescent="0.25">
      <c r="A163" s="2">
        <v>45797</v>
      </c>
      <c r="B163" s="2" t="s">
        <v>492</v>
      </c>
      <c r="C163" s="2" t="s">
        <v>493</v>
      </c>
      <c r="D163" s="3" t="s">
        <v>32</v>
      </c>
      <c r="E163" s="3" t="s">
        <v>39</v>
      </c>
      <c r="F163" s="3" t="s">
        <v>17</v>
      </c>
      <c r="G163" s="3" t="s">
        <v>68</v>
      </c>
      <c r="H163" s="3">
        <v>1</v>
      </c>
      <c r="I163" s="4">
        <v>30</v>
      </c>
      <c r="J163" s="3">
        <v>150</v>
      </c>
      <c r="K163" s="3">
        <v>5</v>
      </c>
      <c r="L163" s="3">
        <v>142.5</v>
      </c>
      <c r="M163" s="3">
        <v>112.5</v>
      </c>
      <c r="N163" s="3" t="s">
        <v>35</v>
      </c>
      <c r="O163" s="3" t="str">
        <f t="shared" si="2"/>
        <v>YES</v>
      </c>
      <c r="P163" s="3" t="s">
        <v>203</v>
      </c>
      <c r="Q163" s="3" t="s">
        <v>61</v>
      </c>
    </row>
    <row r="164" spans="1:17" x14ac:dyDescent="0.25">
      <c r="A164" s="2">
        <v>45913</v>
      </c>
      <c r="B164" s="2" t="s">
        <v>483</v>
      </c>
      <c r="C164" s="2" t="s">
        <v>490</v>
      </c>
      <c r="D164" s="3" t="s">
        <v>9</v>
      </c>
      <c r="E164" s="3" t="s">
        <v>16</v>
      </c>
      <c r="F164" s="3" t="s">
        <v>29</v>
      </c>
      <c r="G164" s="3" t="s">
        <v>83</v>
      </c>
      <c r="H164" s="3">
        <v>10</v>
      </c>
      <c r="I164" s="4">
        <v>20</v>
      </c>
      <c r="J164" s="3">
        <v>100</v>
      </c>
      <c r="K164" s="3">
        <v>0</v>
      </c>
      <c r="L164" s="3">
        <v>1000</v>
      </c>
      <c r="M164" s="3">
        <v>800</v>
      </c>
      <c r="N164" s="3" t="s">
        <v>13</v>
      </c>
      <c r="O164" s="3" t="str">
        <f t="shared" si="2"/>
        <v>NO</v>
      </c>
      <c r="P164" s="3" t="s">
        <v>204</v>
      </c>
      <c r="Q164" s="3" t="s">
        <v>15</v>
      </c>
    </row>
    <row r="165" spans="1:17" x14ac:dyDescent="0.25">
      <c r="A165" s="2">
        <v>45879</v>
      </c>
      <c r="B165" s="2" t="s">
        <v>495</v>
      </c>
      <c r="C165" s="2" t="s">
        <v>488</v>
      </c>
      <c r="D165" s="3" t="s">
        <v>38</v>
      </c>
      <c r="E165" s="3" t="s">
        <v>58</v>
      </c>
      <c r="F165" s="3" t="s">
        <v>11</v>
      </c>
      <c r="G165" s="3" t="s">
        <v>59</v>
      </c>
      <c r="H165" s="3">
        <v>1</v>
      </c>
      <c r="I165" s="4">
        <v>15</v>
      </c>
      <c r="J165" s="3">
        <v>50</v>
      </c>
      <c r="K165" s="3">
        <v>0</v>
      </c>
      <c r="L165" s="3">
        <v>50</v>
      </c>
      <c r="M165" s="3">
        <v>35</v>
      </c>
      <c r="N165" s="3" t="s">
        <v>19</v>
      </c>
      <c r="O165" s="3" t="str">
        <f t="shared" si="2"/>
        <v>NO</v>
      </c>
      <c r="P165" s="3" t="s">
        <v>142</v>
      </c>
      <c r="Q165" s="3" t="s">
        <v>15</v>
      </c>
    </row>
    <row r="166" spans="1:17" x14ac:dyDescent="0.25">
      <c r="A166" s="2">
        <v>45759</v>
      </c>
      <c r="B166" s="2" t="s">
        <v>486</v>
      </c>
      <c r="C166" s="2" t="s">
        <v>490</v>
      </c>
      <c r="D166" s="3" t="s">
        <v>22</v>
      </c>
      <c r="E166" s="3" t="s">
        <v>10</v>
      </c>
      <c r="F166" s="3" t="s">
        <v>33</v>
      </c>
      <c r="G166" s="3" t="s">
        <v>88</v>
      </c>
      <c r="H166" s="3">
        <v>2</v>
      </c>
      <c r="I166" s="4">
        <v>45</v>
      </c>
      <c r="J166" s="3">
        <v>100</v>
      </c>
      <c r="K166" s="3">
        <v>10</v>
      </c>
      <c r="L166" s="3">
        <v>180</v>
      </c>
      <c r="M166" s="3">
        <v>90</v>
      </c>
      <c r="N166" s="3" t="s">
        <v>35</v>
      </c>
      <c r="O166" s="3" t="str">
        <f t="shared" si="2"/>
        <v>YES</v>
      </c>
      <c r="P166" s="3" t="s">
        <v>162</v>
      </c>
      <c r="Q166" s="3" t="s">
        <v>37</v>
      </c>
    </row>
    <row r="167" spans="1:17" x14ac:dyDescent="0.25">
      <c r="A167" s="2">
        <v>45724</v>
      </c>
      <c r="B167" s="2" t="s">
        <v>494</v>
      </c>
      <c r="C167" s="2" t="s">
        <v>490</v>
      </c>
      <c r="D167" s="3" t="s">
        <v>9</v>
      </c>
      <c r="E167" s="3" t="s">
        <v>70</v>
      </c>
      <c r="F167" s="3" t="s">
        <v>24</v>
      </c>
      <c r="G167" s="3" t="s">
        <v>42</v>
      </c>
      <c r="H167" s="3">
        <v>3</v>
      </c>
      <c r="I167" s="4">
        <v>45</v>
      </c>
      <c r="J167" s="3">
        <v>100</v>
      </c>
      <c r="K167" s="3">
        <v>0</v>
      </c>
      <c r="L167" s="3">
        <v>300</v>
      </c>
      <c r="M167" s="3">
        <v>165</v>
      </c>
      <c r="N167" s="3" t="s">
        <v>13</v>
      </c>
      <c r="O167" s="3" t="str">
        <f t="shared" si="2"/>
        <v>NO</v>
      </c>
      <c r="P167" s="3" t="s">
        <v>205</v>
      </c>
      <c r="Q167" s="3" t="s">
        <v>15</v>
      </c>
    </row>
    <row r="168" spans="1:17" x14ac:dyDescent="0.25">
      <c r="A168" s="2">
        <v>45853</v>
      </c>
      <c r="B168" s="2" t="s">
        <v>501</v>
      </c>
      <c r="C168" s="2" t="s">
        <v>493</v>
      </c>
      <c r="D168" s="3" t="s">
        <v>9</v>
      </c>
      <c r="E168" s="3" t="s">
        <v>70</v>
      </c>
      <c r="F168" s="3" t="s">
        <v>29</v>
      </c>
      <c r="G168" s="3" t="s">
        <v>54</v>
      </c>
      <c r="H168" s="3">
        <v>10</v>
      </c>
      <c r="I168" s="4">
        <v>20</v>
      </c>
      <c r="J168" s="3">
        <v>150</v>
      </c>
      <c r="K168" s="3">
        <v>20</v>
      </c>
      <c r="L168" s="3">
        <v>1200</v>
      </c>
      <c r="M168" s="3">
        <v>1000</v>
      </c>
      <c r="N168" s="3" t="s">
        <v>13</v>
      </c>
      <c r="O168" s="3" t="str">
        <f t="shared" si="2"/>
        <v>YES</v>
      </c>
      <c r="P168" s="3" t="s">
        <v>140</v>
      </c>
      <c r="Q168" s="3" t="s">
        <v>37</v>
      </c>
    </row>
    <row r="169" spans="1:17" x14ac:dyDescent="0.25">
      <c r="A169" s="2">
        <v>45751</v>
      </c>
      <c r="B169" s="2" t="s">
        <v>486</v>
      </c>
      <c r="C169" s="2" t="s">
        <v>484</v>
      </c>
      <c r="D169" s="3" t="s">
        <v>27</v>
      </c>
      <c r="E169" s="3" t="s">
        <v>23</v>
      </c>
      <c r="F169" s="3" t="s">
        <v>24</v>
      </c>
      <c r="G169" s="3" t="s">
        <v>25</v>
      </c>
      <c r="H169" s="3">
        <v>5</v>
      </c>
      <c r="I169" s="4">
        <v>22.5</v>
      </c>
      <c r="J169" s="3">
        <v>50</v>
      </c>
      <c r="K169" s="3">
        <v>10</v>
      </c>
      <c r="L169" s="3">
        <v>225</v>
      </c>
      <c r="M169" s="3">
        <v>112.5</v>
      </c>
      <c r="N169" s="3" t="s">
        <v>13</v>
      </c>
      <c r="O169" s="3" t="str">
        <f t="shared" si="2"/>
        <v>YES</v>
      </c>
      <c r="P169" s="3" t="s">
        <v>206</v>
      </c>
      <c r="Q169" s="3" t="s">
        <v>41</v>
      </c>
    </row>
    <row r="170" spans="1:17" x14ac:dyDescent="0.25">
      <c r="A170" s="2">
        <v>45855</v>
      </c>
      <c r="B170" s="2" t="s">
        <v>501</v>
      </c>
      <c r="C170" s="2" t="s">
        <v>496</v>
      </c>
      <c r="D170" s="3" t="s">
        <v>32</v>
      </c>
      <c r="E170" s="3" t="s">
        <v>70</v>
      </c>
      <c r="F170" s="3" t="s">
        <v>17</v>
      </c>
      <c r="G170" s="3" t="s">
        <v>107</v>
      </c>
      <c r="H170" s="3">
        <v>5</v>
      </c>
      <c r="I170" s="4">
        <v>20</v>
      </c>
      <c r="J170" s="3">
        <v>100</v>
      </c>
      <c r="K170" s="3">
        <v>5</v>
      </c>
      <c r="L170" s="3">
        <v>475</v>
      </c>
      <c r="M170" s="3">
        <v>375</v>
      </c>
      <c r="N170" s="3" t="s">
        <v>35</v>
      </c>
      <c r="O170" s="3" t="str">
        <f t="shared" si="2"/>
        <v>YES</v>
      </c>
      <c r="P170" s="3" t="s">
        <v>207</v>
      </c>
      <c r="Q170" s="3" t="s">
        <v>15</v>
      </c>
    </row>
    <row r="171" spans="1:17" x14ac:dyDescent="0.25">
      <c r="A171" s="2">
        <v>45912</v>
      </c>
      <c r="B171" s="2" t="s">
        <v>483</v>
      </c>
      <c r="C171" s="2" t="s">
        <v>484</v>
      </c>
      <c r="D171" s="3" t="s">
        <v>32</v>
      </c>
      <c r="E171" s="3" t="s">
        <v>23</v>
      </c>
      <c r="F171" s="3" t="s">
        <v>24</v>
      </c>
      <c r="G171" s="3" t="s">
        <v>81</v>
      </c>
      <c r="H171" s="3">
        <v>1</v>
      </c>
      <c r="I171" s="4">
        <v>67.5</v>
      </c>
      <c r="J171" s="3">
        <v>150</v>
      </c>
      <c r="K171" s="3">
        <v>0</v>
      </c>
      <c r="L171" s="3">
        <v>150</v>
      </c>
      <c r="M171" s="3">
        <v>82.5</v>
      </c>
      <c r="N171" s="3" t="s">
        <v>35</v>
      </c>
      <c r="O171" s="3" t="str">
        <f t="shared" si="2"/>
        <v>NO</v>
      </c>
      <c r="P171" s="3" t="s">
        <v>208</v>
      </c>
      <c r="Q171" s="3" t="s">
        <v>21</v>
      </c>
    </row>
    <row r="172" spans="1:17" x14ac:dyDescent="0.25">
      <c r="A172" s="2">
        <v>45847</v>
      </c>
      <c r="B172" s="2" t="s">
        <v>501</v>
      </c>
      <c r="C172" s="2" t="s">
        <v>487</v>
      </c>
      <c r="D172" s="3" t="s">
        <v>32</v>
      </c>
      <c r="E172" s="3" t="s">
        <v>70</v>
      </c>
      <c r="F172" s="3" t="s">
        <v>29</v>
      </c>
      <c r="G172" s="3" t="s">
        <v>30</v>
      </c>
      <c r="H172" s="3">
        <v>2</v>
      </c>
      <c r="I172" s="4">
        <v>60</v>
      </c>
      <c r="J172" s="3">
        <v>200</v>
      </c>
      <c r="K172" s="3">
        <v>15</v>
      </c>
      <c r="L172" s="3">
        <v>340</v>
      </c>
      <c r="M172" s="3">
        <v>220</v>
      </c>
      <c r="N172" s="3" t="s">
        <v>13</v>
      </c>
      <c r="O172" s="3" t="str">
        <f t="shared" si="2"/>
        <v>YES</v>
      </c>
      <c r="P172" s="3" t="s">
        <v>209</v>
      </c>
      <c r="Q172" s="3" t="s">
        <v>45</v>
      </c>
    </row>
    <row r="173" spans="1:17" x14ac:dyDescent="0.25">
      <c r="A173" s="2">
        <v>45678</v>
      </c>
      <c r="B173" s="2" t="s">
        <v>489</v>
      </c>
      <c r="C173" s="2" t="s">
        <v>493</v>
      </c>
      <c r="D173" s="3" t="s">
        <v>27</v>
      </c>
      <c r="E173" s="3" t="s">
        <v>39</v>
      </c>
      <c r="F173" s="3" t="s">
        <v>24</v>
      </c>
      <c r="G173" s="3" t="s">
        <v>71</v>
      </c>
      <c r="H173" s="3">
        <v>3</v>
      </c>
      <c r="I173" s="4">
        <v>67.5</v>
      </c>
      <c r="J173" s="3">
        <v>150</v>
      </c>
      <c r="K173" s="3">
        <v>0</v>
      </c>
      <c r="L173" s="3">
        <v>450</v>
      </c>
      <c r="M173" s="3">
        <v>247.5</v>
      </c>
      <c r="N173" s="3" t="s">
        <v>35</v>
      </c>
      <c r="O173" s="3" t="str">
        <f t="shared" si="2"/>
        <v>NO</v>
      </c>
      <c r="P173" s="3" t="s">
        <v>210</v>
      </c>
      <c r="Q173" s="3" t="s">
        <v>15</v>
      </c>
    </row>
    <row r="174" spans="1:17" x14ac:dyDescent="0.25">
      <c r="A174" s="2">
        <v>45919</v>
      </c>
      <c r="B174" s="2" t="s">
        <v>483</v>
      </c>
      <c r="C174" s="2" t="s">
        <v>484</v>
      </c>
      <c r="D174" s="3" t="s">
        <v>38</v>
      </c>
      <c r="E174" s="3" t="s">
        <v>16</v>
      </c>
      <c r="F174" s="3" t="s">
        <v>29</v>
      </c>
      <c r="G174" s="3" t="s">
        <v>83</v>
      </c>
      <c r="H174" s="3">
        <v>5</v>
      </c>
      <c r="I174" s="4">
        <v>80</v>
      </c>
      <c r="J174" s="3">
        <v>250</v>
      </c>
      <c r="K174" s="3">
        <v>0</v>
      </c>
      <c r="L174" s="3">
        <v>1250</v>
      </c>
      <c r="M174" s="3">
        <v>850</v>
      </c>
      <c r="N174" s="3" t="s">
        <v>19</v>
      </c>
      <c r="O174" s="3" t="str">
        <f t="shared" si="2"/>
        <v>NO</v>
      </c>
      <c r="P174" s="3" t="s">
        <v>211</v>
      </c>
      <c r="Q174" s="3" t="s">
        <v>41</v>
      </c>
    </row>
    <row r="175" spans="1:17" x14ac:dyDescent="0.25">
      <c r="A175" s="2">
        <v>45873</v>
      </c>
      <c r="B175" s="2" t="s">
        <v>495</v>
      </c>
      <c r="C175" s="2" t="s">
        <v>491</v>
      </c>
      <c r="D175" s="3" t="s">
        <v>38</v>
      </c>
      <c r="E175" s="3" t="s">
        <v>16</v>
      </c>
      <c r="F175" s="3" t="s">
        <v>11</v>
      </c>
      <c r="G175" s="3" t="s">
        <v>12</v>
      </c>
      <c r="H175" s="3">
        <v>2</v>
      </c>
      <c r="I175" s="4">
        <v>60</v>
      </c>
      <c r="J175" s="3">
        <v>200</v>
      </c>
      <c r="K175" s="3">
        <v>0</v>
      </c>
      <c r="L175" s="3">
        <v>400</v>
      </c>
      <c r="M175" s="3">
        <v>280</v>
      </c>
      <c r="N175" s="3" t="s">
        <v>35</v>
      </c>
      <c r="O175" s="3" t="str">
        <f t="shared" si="2"/>
        <v>NO</v>
      </c>
      <c r="P175" s="3" t="s">
        <v>212</v>
      </c>
      <c r="Q175" s="3" t="s">
        <v>41</v>
      </c>
    </row>
    <row r="176" spans="1:17" x14ac:dyDescent="0.25">
      <c r="A176" s="2">
        <v>45978</v>
      </c>
      <c r="B176" s="2" t="s">
        <v>485</v>
      </c>
      <c r="C176" s="2" t="s">
        <v>491</v>
      </c>
      <c r="D176" s="3" t="s">
        <v>27</v>
      </c>
      <c r="E176" s="3" t="s">
        <v>28</v>
      </c>
      <c r="F176" s="3" t="s">
        <v>11</v>
      </c>
      <c r="G176" s="3" t="s">
        <v>105</v>
      </c>
      <c r="H176" s="3">
        <v>2</v>
      </c>
      <c r="I176" s="4">
        <v>45</v>
      </c>
      <c r="J176" s="3">
        <v>150</v>
      </c>
      <c r="K176" s="3">
        <v>0</v>
      </c>
      <c r="L176" s="3">
        <v>300</v>
      </c>
      <c r="M176" s="3">
        <v>210</v>
      </c>
      <c r="N176" s="3" t="s">
        <v>13</v>
      </c>
      <c r="O176" s="3" t="str">
        <f t="shared" si="2"/>
        <v>NO</v>
      </c>
      <c r="P176" s="3" t="s">
        <v>213</v>
      </c>
      <c r="Q176" s="3" t="s">
        <v>45</v>
      </c>
    </row>
    <row r="177" spans="1:17" x14ac:dyDescent="0.25">
      <c r="A177" s="2">
        <v>45968</v>
      </c>
      <c r="B177" s="2" t="s">
        <v>485</v>
      </c>
      <c r="C177" s="2" t="s">
        <v>484</v>
      </c>
      <c r="D177" s="3" t="s">
        <v>27</v>
      </c>
      <c r="E177" s="3" t="s">
        <v>23</v>
      </c>
      <c r="F177" s="3" t="s">
        <v>17</v>
      </c>
      <c r="G177" s="3" t="s">
        <v>68</v>
      </c>
      <c r="H177" s="3">
        <v>5</v>
      </c>
      <c r="I177" s="4">
        <v>30</v>
      </c>
      <c r="J177" s="3">
        <v>150</v>
      </c>
      <c r="K177" s="3">
        <v>0</v>
      </c>
      <c r="L177" s="3">
        <v>750</v>
      </c>
      <c r="M177" s="3">
        <v>600</v>
      </c>
      <c r="N177" s="3" t="s">
        <v>19</v>
      </c>
      <c r="O177" s="3" t="str">
        <f t="shared" si="2"/>
        <v>NO</v>
      </c>
      <c r="P177" s="3" t="s">
        <v>214</v>
      </c>
      <c r="Q177" s="3" t="s">
        <v>15</v>
      </c>
    </row>
    <row r="178" spans="1:17" x14ac:dyDescent="0.25">
      <c r="A178" s="2">
        <v>45872</v>
      </c>
      <c r="B178" s="2" t="s">
        <v>495</v>
      </c>
      <c r="C178" s="2" t="s">
        <v>488</v>
      </c>
      <c r="D178" s="3" t="s">
        <v>9</v>
      </c>
      <c r="E178" s="3" t="s">
        <v>70</v>
      </c>
      <c r="F178" s="3" t="s">
        <v>24</v>
      </c>
      <c r="G178" s="3" t="s">
        <v>71</v>
      </c>
      <c r="H178" s="3">
        <v>3</v>
      </c>
      <c r="I178" s="4">
        <v>67.5</v>
      </c>
      <c r="J178" s="3">
        <v>150</v>
      </c>
      <c r="K178" s="3">
        <v>0</v>
      </c>
      <c r="L178" s="3">
        <v>450</v>
      </c>
      <c r="M178" s="3">
        <v>247.5</v>
      </c>
      <c r="N178" s="3" t="s">
        <v>13</v>
      </c>
      <c r="O178" s="3" t="str">
        <f t="shared" si="2"/>
        <v>NO</v>
      </c>
      <c r="P178" s="3" t="s">
        <v>215</v>
      </c>
      <c r="Q178" s="3" t="s">
        <v>15</v>
      </c>
    </row>
    <row r="179" spans="1:17" x14ac:dyDescent="0.25">
      <c r="A179" s="2">
        <v>45830</v>
      </c>
      <c r="B179" s="2" t="s">
        <v>497</v>
      </c>
      <c r="C179" s="2" t="s">
        <v>488</v>
      </c>
      <c r="D179" s="3" t="s">
        <v>27</v>
      </c>
      <c r="E179" s="3" t="s">
        <v>28</v>
      </c>
      <c r="F179" s="3" t="s">
        <v>24</v>
      </c>
      <c r="G179" s="3" t="s">
        <v>25</v>
      </c>
      <c r="H179" s="3">
        <v>5</v>
      </c>
      <c r="I179" s="4">
        <v>90</v>
      </c>
      <c r="J179" s="3">
        <v>200</v>
      </c>
      <c r="K179" s="3">
        <v>20</v>
      </c>
      <c r="L179" s="3">
        <v>800</v>
      </c>
      <c r="M179" s="3">
        <v>350</v>
      </c>
      <c r="N179" s="3" t="s">
        <v>19</v>
      </c>
      <c r="O179" s="3" t="str">
        <f t="shared" si="2"/>
        <v>YES</v>
      </c>
      <c r="P179" s="3" t="s">
        <v>216</v>
      </c>
      <c r="Q179" s="3" t="s">
        <v>37</v>
      </c>
    </row>
    <row r="180" spans="1:17" x14ac:dyDescent="0.25">
      <c r="A180" s="2">
        <v>45897</v>
      </c>
      <c r="B180" s="2" t="s">
        <v>495</v>
      </c>
      <c r="C180" s="2" t="s">
        <v>496</v>
      </c>
      <c r="D180" s="3" t="s">
        <v>38</v>
      </c>
      <c r="E180" s="3" t="s">
        <v>28</v>
      </c>
      <c r="F180" s="3" t="s">
        <v>33</v>
      </c>
      <c r="G180" s="3" t="s">
        <v>34</v>
      </c>
      <c r="H180" s="3">
        <v>5</v>
      </c>
      <c r="I180" s="4">
        <v>67.5</v>
      </c>
      <c r="J180" s="3">
        <v>100</v>
      </c>
      <c r="K180" s="3">
        <v>0</v>
      </c>
      <c r="L180" s="3">
        <v>500</v>
      </c>
      <c r="M180" s="3">
        <v>162.5</v>
      </c>
      <c r="N180" s="3" t="s">
        <v>13</v>
      </c>
      <c r="O180" s="3" t="str">
        <f t="shared" si="2"/>
        <v>NO</v>
      </c>
      <c r="P180" s="3" t="s">
        <v>217</v>
      </c>
      <c r="Q180" s="3" t="s">
        <v>37</v>
      </c>
    </row>
    <row r="181" spans="1:17" x14ac:dyDescent="0.25">
      <c r="A181" s="2">
        <v>45700</v>
      </c>
      <c r="B181" s="2" t="s">
        <v>500</v>
      </c>
      <c r="C181" s="2" t="s">
        <v>487</v>
      </c>
      <c r="D181" s="3" t="s">
        <v>32</v>
      </c>
      <c r="E181" s="3" t="s">
        <v>39</v>
      </c>
      <c r="F181" s="3" t="s">
        <v>11</v>
      </c>
      <c r="G181" s="3" t="s">
        <v>115</v>
      </c>
      <c r="H181" s="3">
        <v>1</v>
      </c>
      <c r="I181" s="4">
        <v>45</v>
      </c>
      <c r="J181" s="3">
        <v>150</v>
      </c>
      <c r="K181" s="3">
        <v>0</v>
      </c>
      <c r="L181" s="3">
        <v>150</v>
      </c>
      <c r="M181" s="3">
        <v>105</v>
      </c>
      <c r="N181" s="3" t="s">
        <v>13</v>
      </c>
      <c r="O181" s="3" t="str">
        <f t="shared" si="2"/>
        <v>NO</v>
      </c>
      <c r="P181" s="3" t="s">
        <v>218</v>
      </c>
      <c r="Q181" s="3" t="s">
        <v>61</v>
      </c>
    </row>
    <row r="182" spans="1:17" x14ac:dyDescent="0.25">
      <c r="A182" s="2">
        <v>45938</v>
      </c>
      <c r="B182" s="2" t="s">
        <v>499</v>
      </c>
      <c r="C182" s="2" t="s">
        <v>487</v>
      </c>
      <c r="D182" s="3" t="s">
        <v>9</v>
      </c>
      <c r="E182" s="3" t="s">
        <v>58</v>
      </c>
      <c r="F182" s="3" t="s">
        <v>33</v>
      </c>
      <c r="G182" s="3" t="s">
        <v>88</v>
      </c>
      <c r="H182" s="3">
        <v>5</v>
      </c>
      <c r="I182" s="4">
        <v>90</v>
      </c>
      <c r="J182" s="3">
        <v>150</v>
      </c>
      <c r="K182" s="3">
        <v>5</v>
      </c>
      <c r="L182" s="3">
        <v>712.5</v>
      </c>
      <c r="M182" s="3">
        <v>262.5</v>
      </c>
      <c r="N182" s="3" t="s">
        <v>13</v>
      </c>
      <c r="O182" s="3" t="str">
        <f t="shared" si="2"/>
        <v>YES</v>
      </c>
      <c r="P182" s="3" t="s">
        <v>219</v>
      </c>
      <c r="Q182" s="3" t="s">
        <v>15</v>
      </c>
    </row>
    <row r="183" spans="1:17" x14ac:dyDescent="0.25">
      <c r="A183" s="2">
        <v>45998</v>
      </c>
      <c r="B183" s="2" t="s">
        <v>498</v>
      </c>
      <c r="C183" s="2" t="s">
        <v>488</v>
      </c>
      <c r="D183" s="3" t="s">
        <v>32</v>
      </c>
      <c r="E183" s="3" t="s">
        <v>10</v>
      </c>
      <c r="F183" s="3" t="s">
        <v>11</v>
      </c>
      <c r="G183" s="3" t="s">
        <v>59</v>
      </c>
      <c r="H183" s="3">
        <v>2</v>
      </c>
      <c r="I183" s="4">
        <v>60</v>
      </c>
      <c r="J183" s="3">
        <v>200</v>
      </c>
      <c r="K183" s="3">
        <v>5</v>
      </c>
      <c r="L183" s="3">
        <v>380</v>
      </c>
      <c r="M183" s="3">
        <v>260</v>
      </c>
      <c r="N183" s="3" t="s">
        <v>19</v>
      </c>
      <c r="O183" s="3" t="str">
        <f t="shared" si="2"/>
        <v>YES</v>
      </c>
      <c r="P183" s="3" t="s">
        <v>125</v>
      </c>
      <c r="Q183" s="3" t="s">
        <v>15</v>
      </c>
    </row>
    <row r="184" spans="1:17" x14ac:dyDescent="0.25">
      <c r="A184" s="2">
        <v>45780</v>
      </c>
      <c r="B184" s="2" t="s">
        <v>492</v>
      </c>
      <c r="C184" s="2" t="s">
        <v>490</v>
      </c>
      <c r="D184" s="3" t="s">
        <v>38</v>
      </c>
      <c r="E184" s="3" t="s">
        <v>28</v>
      </c>
      <c r="F184" s="3" t="s">
        <v>11</v>
      </c>
      <c r="G184" s="3" t="s">
        <v>131</v>
      </c>
      <c r="H184" s="3">
        <v>2</v>
      </c>
      <c r="I184" s="4">
        <v>75</v>
      </c>
      <c r="J184" s="3">
        <v>250</v>
      </c>
      <c r="K184" s="3">
        <v>15</v>
      </c>
      <c r="L184" s="3">
        <v>425</v>
      </c>
      <c r="M184" s="3">
        <v>275</v>
      </c>
      <c r="N184" s="3" t="s">
        <v>13</v>
      </c>
      <c r="O184" s="3" t="str">
        <f t="shared" si="2"/>
        <v>YES</v>
      </c>
      <c r="P184" s="3" t="s">
        <v>220</v>
      </c>
      <c r="Q184" s="3" t="s">
        <v>15</v>
      </c>
    </row>
    <row r="185" spans="1:17" x14ac:dyDescent="0.25">
      <c r="A185" s="2">
        <v>45676</v>
      </c>
      <c r="B185" s="2" t="s">
        <v>489</v>
      </c>
      <c r="C185" s="2" t="s">
        <v>488</v>
      </c>
      <c r="D185" s="3" t="s">
        <v>38</v>
      </c>
      <c r="E185" s="3" t="s">
        <v>58</v>
      </c>
      <c r="F185" s="3" t="s">
        <v>24</v>
      </c>
      <c r="G185" s="3" t="s">
        <v>81</v>
      </c>
      <c r="H185" s="3">
        <v>1</v>
      </c>
      <c r="I185" s="4">
        <v>90</v>
      </c>
      <c r="J185" s="3">
        <v>200</v>
      </c>
      <c r="K185" s="3">
        <v>15</v>
      </c>
      <c r="L185" s="3">
        <v>170</v>
      </c>
      <c r="M185" s="3">
        <v>80</v>
      </c>
      <c r="N185" s="3" t="s">
        <v>13</v>
      </c>
      <c r="O185" s="3" t="str">
        <f t="shared" si="2"/>
        <v>YES</v>
      </c>
      <c r="P185" s="3" t="s">
        <v>221</v>
      </c>
      <c r="Q185" s="3" t="s">
        <v>41</v>
      </c>
    </row>
    <row r="186" spans="1:17" x14ac:dyDescent="0.25">
      <c r="A186" s="2">
        <v>45804</v>
      </c>
      <c r="B186" s="2" t="s">
        <v>492</v>
      </c>
      <c r="C186" s="2" t="s">
        <v>493</v>
      </c>
      <c r="D186" s="3" t="s">
        <v>27</v>
      </c>
      <c r="E186" s="3" t="s">
        <v>70</v>
      </c>
      <c r="F186" s="3" t="s">
        <v>11</v>
      </c>
      <c r="G186" s="3" t="s">
        <v>12</v>
      </c>
      <c r="H186" s="3">
        <v>1</v>
      </c>
      <c r="I186" s="4">
        <v>75</v>
      </c>
      <c r="J186" s="3">
        <v>250</v>
      </c>
      <c r="K186" s="3">
        <v>5</v>
      </c>
      <c r="L186" s="3">
        <v>237.5</v>
      </c>
      <c r="M186" s="3">
        <v>162.5</v>
      </c>
      <c r="N186" s="3" t="s">
        <v>19</v>
      </c>
      <c r="O186" s="3" t="str">
        <f t="shared" si="2"/>
        <v>YES</v>
      </c>
      <c r="P186" s="3" t="s">
        <v>222</v>
      </c>
      <c r="Q186" s="3" t="s">
        <v>15</v>
      </c>
    </row>
    <row r="187" spans="1:17" x14ac:dyDescent="0.25">
      <c r="A187" s="2">
        <v>45701</v>
      </c>
      <c r="B187" s="2" t="s">
        <v>500</v>
      </c>
      <c r="C187" s="2" t="s">
        <v>496</v>
      </c>
      <c r="D187" s="3" t="s">
        <v>32</v>
      </c>
      <c r="E187" s="3" t="s">
        <v>10</v>
      </c>
      <c r="F187" s="3" t="s">
        <v>17</v>
      </c>
      <c r="G187" s="3" t="s">
        <v>77</v>
      </c>
      <c r="H187" s="3">
        <v>3</v>
      </c>
      <c r="I187" s="4">
        <v>30</v>
      </c>
      <c r="J187" s="3">
        <v>150</v>
      </c>
      <c r="K187" s="3">
        <v>15</v>
      </c>
      <c r="L187" s="3">
        <v>382.5</v>
      </c>
      <c r="M187" s="3">
        <v>292.5</v>
      </c>
      <c r="N187" s="3" t="s">
        <v>35</v>
      </c>
      <c r="O187" s="3" t="str">
        <f t="shared" si="2"/>
        <v>YES</v>
      </c>
      <c r="P187" s="3" t="s">
        <v>223</v>
      </c>
      <c r="Q187" s="3" t="s">
        <v>41</v>
      </c>
    </row>
    <row r="188" spans="1:17" x14ac:dyDescent="0.25">
      <c r="A188" s="2">
        <v>45803</v>
      </c>
      <c r="B188" s="2" t="s">
        <v>492</v>
      </c>
      <c r="C188" s="2" t="s">
        <v>491</v>
      </c>
      <c r="D188" s="3" t="s">
        <v>9</v>
      </c>
      <c r="E188" s="3" t="s">
        <v>10</v>
      </c>
      <c r="F188" s="3" t="s">
        <v>24</v>
      </c>
      <c r="G188" s="3" t="s">
        <v>25</v>
      </c>
      <c r="H188" s="3">
        <v>1</v>
      </c>
      <c r="I188" s="4">
        <v>45</v>
      </c>
      <c r="J188" s="3">
        <v>100</v>
      </c>
      <c r="K188" s="3">
        <v>0</v>
      </c>
      <c r="L188" s="3">
        <v>100</v>
      </c>
      <c r="M188" s="3">
        <v>55</v>
      </c>
      <c r="N188" s="3" t="s">
        <v>13</v>
      </c>
      <c r="O188" s="3" t="str">
        <f t="shared" si="2"/>
        <v>NO</v>
      </c>
      <c r="P188" s="3" t="s">
        <v>224</v>
      </c>
      <c r="Q188" s="3" t="s">
        <v>37</v>
      </c>
    </row>
    <row r="189" spans="1:17" x14ac:dyDescent="0.25">
      <c r="A189" s="2">
        <v>45711</v>
      </c>
      <c r="B189" s="2" t="s">
        <v>500</v>
      </c>
      <c r="C189" s="2" t="s">
        <v>488</v>
      </c>
      <c r="D189" s="3" t="s">
        <v>38</v>
      </c>
      <c r="E189" s="3" t="s">
        <v>28</v>
      </c>
      <c r="F189" s="3" t="s">
        <v>33</v>
      </c>
      <c r="G189" s="3" t="s">
        <v>34</v>
      </c>
      <c r="H189" s="3">
        <v>1</v>
      </c>
      <c r="I189" s="4">
        <v>67.5</v>
      </c>
      <c r="J189" s="3">
        <v>150</v>
      </c>
      <c r="K189" s="3">
        <v>10</v>
      </c>
      <c r="L189" s="3">
        <v>135</v>
      </c>
      <c r="M189" s="3">
        <v>67.5</v>
      </c>
      <c r="N189" s="3" t="s">
        <v>19</v>
      </c>
      <c r="O189" s="3" t="str">
        <f t="shared" si="2"/>
        <v>YES</v>
      </c>
      <c r="P189" s="3" t="s">
        <v>225</v>
      </c>
      <c r="Q189" s="3" t="s">
        <v>15</v>
      </c>
    </row>
    <row r="190" spans="1:17" x14ac:dyDescent="0.25">
      <c r="A190" s="2">
        <v>45818</v>
      </c>
      <c r="B190" s="2" t="s">
        <v>497</v>
      </c>
      <c r="C190" s="2" t="s">
        <v>493</v>
      </c>
      <c r="D190" s="3" t="s">
        <v>32</v>
      </c>
      <c r="E190" s="3" t="s">
        <v>39</v>
      </c>
      <c r="F190" s="3" t="s">
        <v>17</v>
      </c>
      <c r="G190" s="3" t="s">
        <v>56</v>
      </c>
      <c r="H190" s="3">
        <v>1</v>
      </c>
      <c r="I190" s="4">
        <v>30</v>
      </c>
      <c r="J190" s="3">
        <v>150</v>
      </c>
      <c r="K190" s="3">
        <v>5</v>
      </c>
      <c r="L190" s="3">
        <v>142.5</v>
      </c>
      <c r="M190" s="3">
        <v>112.5</v>
      </c>
      <c r="N190" s="3" t="s">
        <v>35</v>
      </c>
      <c r="O190" s="3" t="str">
        <f t="shared" si="2"/>
        <v>YES</v>
      </c>
      <c r="P190" s="3" t="s">
        <v>226</v>
      </c>
      <c r="Q190" s="3" t="s">
        <v>21</v>
      </c>
    </row>
    <row r="191" spans="1:17" x14ac:dyDescent="0.25">
      <c r="A191" s="2">
        <v>45828</v>
      </c>
      <c r="B191" s="2" t="s">
        <v>497</v>
      </c>
      <c r="C191" s="2" t="s">
        <v>484</v>
      </c>
      <c r="D191" s="3" t="s">
        <v>22</v>
      </c>
      <c r="E191" s="3" t="s">
        <v>28</v>
      </c>
      <c r="F191" s="3" t="s">
        <v>33</v>
      </c>
      <c r="G191" s="3" t="s">
        <v>50</v>
      </c>
      <c r="H191" s="3">
        <v>2</v>
      </c>
      <c r="I191" s="4">
        <v>112.5</v>
      </c>
      <c r="J191" s="3">
        <v>200</v>
      </c>
      <c r="K191" s="3">
        <v>0</v>
      </c>
      <c r="L191" s="3">
        <v>400</v>
      </c>
      <c r="M191" s="3">
        <v>175</v>
      </c>
      <c r="N191" s="3" t="s">
        <v>13</v>
      </c>
      <c r="O191" s="3" t="str">
        <f t="shared" si="2"/>
        <v>NO</v>
      </c>
      <c r="P191" s="3" t="s">
        <v>227</v>
      </c>
      <c r="Q191" s="3" t="s">
        <v>15</v>
      </c>
    </row>
    <row r="192" spans="1:17" x14ac:dyDescent="0.25">
      <c r="A192" s="2">
        <v>45767</v>
      </c>
      <c r="B192" s="2" t="s">
        <v>486</v>
      </c>
      <c r="C192" s="2" t="s">
        <v>488</v>
      </c>
      <c r="D192" s="3" t="s">
        <v>9</v>
      </c>
      <c r="E192" s="3" t="s">
        <v>16</v>
      </c>
      <c r="F192" s="3" t="s">
        <v>29</v>
      </c>
      <c r="G192" s="3" t="s">
        <v>54</v>
      </c>
      <c r="H192" s="3">
        <v>2</v>
      </c>
      <c r="I192" s="4">
        <v>80</v>
      </c>
      <c r="J192" s="3">
        <v>250</v>
      </c>
      <c r="K192" s="3">
        <v>20</v>
      </c>
      <c r="L192" s="3">
        <v>400</v>
      </c>
      <c r="M192" s="3">
        <v>240</v>
      </c>
      <c r="N192" s="3" t="s">
        <v>19</v>
      </c>
      <c r="O192" s="3" t="str">
        <f t="shared" si="2"/>
        <v>YES</v>
      </c>
      <c r="P192" s="3" t="s">
        <v>228</v>
      </c>
      <c r="Q192" s="3" t="s">
        <v>45</v>
      </c>
    </row>
    <row r="193" spans="1:17" x14ac:dyDescent="0.25">
      <c r="A193" s="2">
        <v>45832</v>
      </c>
      <c r="B193" s="2" t="s">
        <v>497</v>
      </c>
      <c r="C193" s="2" t="s">
        <v>493</v>
      </c>
      <c r="D193" s="3" t="s">
        <v>27</v>
      </c>
      <c r="E193" s="3" t="s">
        <v>39</v>
      </c>
      <c r="F193" s="3" t="s">
        <v>29</v>
      </c>
      <c r="G193" s="3" t="s">
        <v>54</v>
      </c>
      <c r="H193" s="3">
        <v>2</v>
      </c>
      <c r="I193" s="4">
        <v>100</v>
      </c>
      <c r="J193" s="3">
        <v>200</v>
      </c>
      <c r="K193" s="3">
        <v>0</v>
      </c>
      <c r="L193" s="3">
        <v>400</v>
      </c>
      <c r="M193" s="3">
        <v>200</v>
      </c>
      <c r="N193" s="3" t="s">
        <v>13</v>
      </c>
      <c r="O193" s="3" t="str">
        <f t="shared" si="2"/>
        <v>NO</v>
      </c>
      <c r="P193" s="3" t="s">
        <v>229</v>
      </c>
      <c r="Q193" s="3" t="s">
        <v>21</v>
      </c>
    </row>
    <row r="194" spans="1:17" x14ac:dyDescent="0.25">
      <c r="A194" s="2">
        <v>45659</v>
      </c>
      <c r="B194" s="2" t="s">
        <v>489</v>
      </c>
      <c r="C194" s="2" t="s">
        <v>496</v>
      </c>
      <c r="D194" s="3" t="s">
        <v>27</v>
      </c>
      <c r="E194" s="3" t="s">
        <v>70</v>
      </c>
      <c r="F194" s="3" t="s">
        <v>17</v>
      </c>
      <c r="G194" s="3" t="s">
        <v>77</v>
      </c>
      <c r="H194" s="3">
        <v>2</v>
      </c>
      <c r="I194" s="4">
        <v>50</v>
      </c>
      <c r="J194" s="3">
        <v>250</v>
      </c>
      <c r="K194" s="3">
        <v>20</v>
      </c>
      <c r="L194" s="3">
        <v>400</v>
      </c>
      <c r="M194" s="3">
        <v>300</v>
      </c>
      <c r="N194" s="3" t="s">
        <v>35</v>
      </c>
      <c r="O194" s="3" t="str">
        <f t="shared" si="2"/>
        <v>YES</v>
      </c>
      <c r="P194" s="3" t="s">
        <v>230</v>
      </c>
      <c r="Q194" s="3" t="s">
        <v>61</v>
      </c>
    </row>
    <row r="195" spans="1:17" x14ac:dyDescent="0.25">
      <c r="A195" s="2">
        <v>45737</v>
      </c>
      <c r="B195" s="2" t="s">
        <v>494</v>
      </c>
      <c r="C195" s="2" t="s">
        <v>484</v>
      </c>
      <c r="D195" s="3" t="s">
        <v>27</v>
      </c>
      <c r="E195" s="3" t="s">
        <v>10</v>
      </c>
      <c r="F195" s="3" t="s">
        <v>33</v>
      </c>
      <c r="G195" s="3" t="s">
        <v>88</v>
      </c>
      <c r="H195" s="3">
        <v>3</v>
      </c>
      <c r="I195" s="4">
        <v>67.5</v>
      </c>
      <c r="J195" s="3">
        <v>150</v>
      </c>
      <c r="K195" s="3">
        <v>0</v>
      </c>
      <c r="L195" s="3">
        <v>450</v>
      </c>
      <c r="M195" s="3">
        <v>247.5</v>
      </c>
      <c r="N195" s="3" t="s">
        <v>13</v>
      </c>
      <c r="O195" s="3" t="str">
        <f t="shared" ref="O195:O258" si="3">IF(K195&gt;0,"YES","NO")</f>
        <v>NO</v>
      </c>
      <c r="P195" s="3" t="s">
        <v>231</v>
      </c>
      <c r="Q195" s="3" t="s">
        <v>21</v>
      </c>
    </row>
    <row r="196" spans="1:17" x14ac:dyDescent="0.25">
      <c r="A196" s="2">
        <v>45918</v>
      </c>
      <c r="B196" s="2" t="s">
        <v>483</v>
      </c>
      <c r="C196" s="2" t="s">
        <v>496</v>
      </c>
      <c r="D196" s="3" t="s">
        <v>22</v>
      </c>
      <c r="E196" s="3" t="s">
        <v>28</v>
      </c>
      <c r="F196" s="3" t="s">
        <v>11</v>
      </c>
      <c r="G196" s="3" t="s">
        <v>115</v>
      </c>
      <c r="H196" s="3">
        <v>5</v>
      </c>
      <c r="I196" s="4">
        <v>45</v>
      </c>
      <c r="J196" s="3">
        <v>150</v>
      </c>
      <c r="K196" s="3">
        <v>0</v>
      </c>
      <c r="L196" s="3">
        <v>750</v>
      </c>
      <c r="M196" s="3">
        <v>525</v>
      </c>
      <c r="N196" s="3" t="s">
        <v>13</v>
      </c>
      <c r="O196" s="3" t="str">
        <f t="shared" si="3"/>
        <v>NO</v>
      </c>
      <c r="P196" s="3" t="s">
        <v>232</v>
      </c>
      <c r="Q196" s="3" t="s">
        <v>61</v>
      </c>
    </row>
    <row r="197" spans="1:17" x14ac:dyDescent="0.25">
      <c r="A197" s="2">
        <v>45934</v>
      </c>
      <c r="B197" s="2" t="s">
        <v>499</v>
      </c>
      <c r="C197" s="2" t="s">
        <v>490</v>
      </c>
      <c r="D197" s="3" t="s">
        <v>32</v>
      </c>
      <c r="E197" s="3" t="s">
        <v>10</v>
      </c>
      <c r="F197" s="3" t="s">
        <v>29</v>
      </c>
      <c r="G197" s="3" t="s">
        <v>83</v>
      </c>
      <c r="H197" s="3">
        <v>10</v>
      </c>
      <c r="I197" s="4">
        <v>60</v>
      </c>
      <c r="J197" s="3">
        <v>100</v>
      </c>
      <c r="K197" s="3">
        <v>15</v>
      </c>
      <c r="L197" s="3">
        <v>850</v>
      </c>
      <c r="M197" s="3">
        <v>250</v>
      </c>
      <c r="N197" s="3" t="s">
        <v>13</v>
      </c>
      <c r="O197" s="3" t="str">
        <f t="shared" si="3"/>
        <v>YES</v>
      </c>
      <c r="P197" s="3" t="s">
        <v>233</v>
      </c>
      <c r="Q197" s="3" t="s">
        <v>45</v>
      </c>
    </row>
    <row r="198" spans="1:17" x14ac:dyDescent="0.25">
      <c r="A198" s="2">
        <v>45894</v>
      </c>
      <c r="B198" s="2" t="s">
        <v>495</v>
      </c>
      <c r="C198" s="2" t="s">
        <v>491</v>
      </c>
      <c r="D198" s="3" t="s">
        <v>22</v>
      </c>
      <c r="E198" s="3" t="s">
        <v>39</v>
      </c>
      <c r="F198" s="3" t="s">
        <v>24</v>
      </c>
      <c r="G198" s="3" t="s">
        <v>71</v>
      </c>
      <c r="H198" s="3">
        <v>5</v>
      </c>
      <c r="I198" s="4">
        <v>67.5</v>
      </c>
      <c r="J198" s="3">
        <v>150</v>
      </c>
      <c r="K198" s="3">
        <v>10</v>
      </c>
      <c r="L198" s="3">
        <v>675</v>
      </c>
      <c r="M198" s="3">
        <v>337.5</v>
      </c>
      <c r="N198" s="3" t="s">
        <v>35</v>
      </c>
      <c r="O198" s="3" t="str">
        <f t="shared" si="3"/>
        <v>YES</v>
      </c>
      <c r="P198" s="3" t="s">
        <v>143</v>
      </c>
      <c r="Q198" s="3" t="s">
        <v>21</v>
      </c>
    </row>
    <row r="199" spans="1:17" x14ac:dyDescent="0.25">
      <c r="A199" s="2">
        <v>46001</v>
      </c>
      <c r="B199" s="2" t="s">
        <v>498</v>
      </c>
      <c r="C199" s="2" t="s">
        <v>487</v>
      </c>
      <c r="D199" s="3" t="s">
        <v>38</v>
      </c>
      <c r="E199" s="3" t="s">
        <v>58</v>
      </c>
      <c r="F199" s="3" t="s">
        <v>24</v>
      </c>
      <c r="G199" s="3" t="s">
        <v>42</v>
      </c>
      <c r="H199" s="3">
        <v>5</v>
      </c>
      <c r="I199" s="4">
        <v>22.5</v>
      </c>
      <c r="J199" s="3">
        <v>50</v>
      </c>
      <c r="K199" s="3">
        <v>0</v>
      </c>
      <c r="L199" s="3">
        <v>250</v>
      </c>
      <c r="M199" s="3">
        <v>137.5</v>
      </c>
      <c r="N199" s="3" t="s">
        <v>35</v>
      </c>
      <c r="O199" s="3" t="str">
        <f t="shared" si="3"/>
        <v>NO</v>
      </c>
      <c r="P199" s="3" t="s">
        <v>234</v>
      </c>
      <c r="Q199" s="3" t="s">
        <v>41</v>
      </c>
    </row>
    <row r="200" spans="1:17" x14ac:dyDescent="0.25">
      <c r="A200" s="2">
        <v>45661</v>
      </c>
      <c r="B200" s="2" t="s">
        <v>489</v>
      </c>
      <c r="C200" s="2" t="s">
        <v>490</v>
      </c>
      <c r="D200" s="3" t="s">
        <v>9</v>
      </c>
      <c r="E200" s="3" t="s">
        <v>39</v>
      </c>
      <c r="F200" s="3" t="s">
        <v>33</v>
      </c>
      <c r="G200" s="3" t="s">
        <v>50</v>
      </c>
      <c r="H200" s="3">
        <v>10</v>
      </c>
      <c r="I200" s="4">
        <v>22.5</v>
      </c>
      <c r="J200" s="3">
        <v>50</v>
      </c>
      <c r="K200" s="3">
        <v>0</v>
      </c>
      <c r="L200" s="3">
        <v>500</v>
      </c>
      <c r="M200" s="3">
        <v>275</v>
      </c>
      <c r="N200" s="3" t="s">
        <v>19</v>
      </c>
      <c r="O200" s="3" t="str">
        <f t="shared" si="3"/>
        <v>NO</v>
      </c>
      <c r="P200" s="3" t="s">
        <v>235</v>
      </c>
      <c r="Q200" s="3" t="s">
        <v>15</v>
      </c>
    </row>
    <row r="201" spans="1:17" x14ac:dyDescent="0.25">
      <c r="A201" s="2">
        <v>45671</v>
      </c>
      <c r="B201" s="2" t="s">
        <v>489</v>
      </c>
      <c r="C201" s="2" t="s">
        <v>493</v>
      </c>
      <c r="D201" s="3" t="s">
        <v>22</v>
      </c>
      <c r="E201" s="3" t="s">
        <v>10</v>
      </c>
      <c r="F201" s="3" t="s">
        <v>33</v>
      </c>
      <c r="G201" s="3" t="s">
        <v>88</v>
      </c>
      <c r="H201" s="3">
        <v>10</v>
      </c>
      <c r="I201" s="4">
        <v>45</v>
      </c>
      <c r="J201" s="3">
        <v>50</v>
      </c>
      <c r="K201" s="3">
        <v>20</v>
      </c>
      <c r="L201" s="3">
        <v>400</v>
      </c>
      <c r="M201" s="3">
        <v>-50</v>
      </c>
      <c r="N201" s="3" t="s">
        <v>35</v>
      </c>
      <c r="O201" s="3" t="str">
        <f t="shared" si="3"/>
        <v>YES</v>
      </c>
      <c r="P201" s="3" t="s">
        <v>236</v>
      </c>
      <c r="Q201" s="3" t="s">
        <v>15</v>
      </c>
    </row>
    <row r="202" spans="1:17" x14ac:dyDescent="0.25">
      <c r="A202" s="2">
        <v>45857</v>
      </c>
      <c r="B202" s="2" t="s">
        <v>501</v>
      </c>
      <c r="C202" s="2" t="s">
        <v>490</v>
      </c>
      <c r="D202" s="3" t="s">
        <v>32</v>
      </c>
      <c r="E202" s="3" t="s">
        <v>16</v>
      </c>
      <c r="F202" s="3" t="s">
        <v>33</v>
      </c>
      <c r="G202" s="3" t="s">
        <v>63</v>
      </c>
      <c r="H202" s="3">
        <v>2</v>
      </c>
      <c r="I202" s="4">
        <v>112.5</v>
      </c>
      <c r="J202" s="3">
        <v>100</v>
      </c>
      <c r="K202" s="3">
        <v>5</v>
      </c>
      <c r="L202" s="3">
        <v>190</v>
      </c>
      <c r="M202" s="3">
        <v>-35</v>
      </c>
      <c r="N202" s="3" t="s">
        <v>19</v>
      </c>
      <c r="O202" s="3" t="str">
        <f t="shared" si="3"/>
        <v>YES</v>
      </c>
      <c r="P202" s="3" t="s">
        <v>237</v>
      </c>
      <c r="Q202" s="3" t="s">
        <v>45</v>
      </c>
    </row>
    <row r="203" spans="1:17" x14ac:dyDescent="0.25">
      <c r="A203" s="2">
        <v>45720</v>
      </c>
      <c r="B203" s="2" t="s">
        <v>494</v>
      </c>
      <c r="C203" s="2" t="s">
        <v>493</v>
      </c>
      <c r="D203" s="3" t="s">
        <v>22</v>
      </c>
      <c r="E203" s="3" t="s">
        <v>58</v>
      </c>
      <c r="F203" s="3" t="s">
        <v>29</v>
      </c>
      <c r="G203" s="3" t="s">
        <v>47</v>
      </c>
      <c r="H203" s="3">
        <v>5</v>
      </c>
      <c r="I203" s="4">
        <v>100</v>
      </c>
      <c r="J203" s="3">
        <v>250</v>
      </c>
      <c r="K203" s="3">
        <v>5</v>
      </c>
      <c r="L203" s="3">
        <v>1187.5</v>
      </c>
      <c r="M203" s="3">
        <v>687.5</v>
      </c>
      <c r="N203" s="3" t="s">
        <v>19</v>
      </c>
      <c r="O203" s="3" t="str">
        <f t="shared" si="3"/>
        <v>YES</v>
      </c>
      <c r="P203" s="3" t="s">
        <v>103</v>
      </c>
      <c r="Q203" s="3" t="s">
        <v>15</v>
      </c>
    </row>
    <row r="204" spans="1:17" x14ac:dyDescent="0.25">
      <c r="A204" s="2">
        <v>45836</v>
      </c>
      <c r="B204" s="2" t="s">
        <v>497</v>
      </c>
      <c r="C204" s="2" t="s">
        <v>490</v>
      </c>
      <c r="D204" s="3" t="s">
        <v>27</v>
      </c>
      <c r="E204" s="3" t="s">
        <v>23</v>
      </c>
      <c r="F204" s="3" t="s">
        <v>33</v>
      </c>
      <c r="G204" s="3" t="s">
        <v>50</v>
      </c>
      <c r="H204" s="3">
        <v>2</v>
      </c>
      <c r="I204" s="4">
        <v>67.5</v>
      </c>
      <c r="J204" s="3">
        <v>250</v>
      </c>
      <c r="K204" s="3">
        <v>10</v>
      </c>
      <c r="L204" s="3">
        <v>450</v>
      </c>
      <c r="M204" s="3">
        <v>315</v>
      </c>
      <c r="N204" s="3" t="s">
        <v>35</v>
      </c>
      <c r="O204" s="3" t="str">
        <f t="shared" si="3"/>
        <v>YES</v>
      </c>
      <c r="P204" s="3" t="s">
        <v>238</v>
      </c>
      <c r="Q204" s="3" t="s">
        <v>37</v>
      </c>
    </row>
    <row r="205" spans="1:17" x14ac:dyDescent="0.25">
      <c r="A205" s="2">
        <v>45750</v>
      </c>
      <c r="B205" s="2" t="s">
        <v>486</v>
      </c>
      <c r="C205" s="2" t="s">
        <v>496</v>
      </c>
      <c r="D205" s="3" t="s">
        <v>38</v>
      </c>
      <c r="E205" s="3" t="s">
        <v>28</v>
      </c>
      <c r="F205" s="3" t="s">
        <v>24</v>
      </c>
      <c r="G205" s="3" t="s">
        <v>25</v>
      </c>
      <c r="H205" s="3">
        <v>3</v>
      </c>
      <c r="I205" s="4">
        <v>67.5</v>
      </c>
      <c r="J205" s="3">
        <v>150</v>
      </c>
      <c r="K205" s="3">
        <v>15</v>
      </c>
      <c r="L205" s="3">
        <v>382.5</v>
      </c>
      <c r="M205" s="3">
        <v>180</v>
      </c>
      <c r="N205" s="3" t="s">
        <v>19</v>
      </c>
      <c r="O205" s="3" t="str">
        <f t="shared" si="3"/>
        <v>YES</v>
      </c>
      <c r="P205" s="3" t="s">
        <v>239</v>
      </c>
      <c r="Q205" s="3" t="s">
        <v>45</v>
      </c>
    </row>
    <row r="206" spans="1:17" x14ac:dyDescent="0.25">
      <c r="A206" s="2">
        <v>45972</v>
      </c>
      <c r="B206" s="2" t="s">
        <v>485</v>
      </c>
      <c r="C206" s="2" t="s">
        <v>493</v>
      </c>
      <c r="D206" s="3" t="s">
        <v>32</v>
      </c>
      <c r="E206" s="3" t="s">
        <v>10</v>
      </c>
      <c r="F206" s="3" t="s">
        <v>11</v>
      </c>
      <c r="G206" s="3" t="s">
        <v>105</v>
      </c>
      <c r="H206" s="3">
        <v>2</v>
      </c>
      <c r="I206" s="4">
        <v>45</v>
      </c>
      <c r="J206" s="3">
        <v>150</v>
      </c>
      <c r="K206" s="3">
        <v>10</v>
      </c>
      <c r="L206" s="3">
        <v>270</v>
      </c>
      <c r="M206" s="3">
        <v>180</v>
      </c>
      <c r="N206" s="3" t="s">
        <v>13</v>
      </c>
      <c r="O206" s="3" t="str">
        <f t="shared" si="3"/>
        <v>YES</v>
      </c>
      <c r="P206" s="3" t="s">
        <v>240</v>
      </c>
      <c r="Q206" s="3" t="s">
        <v>61</v>
      </c>
    </row>
    <row r="207" spans="1:17" x14ac:dyDescent="0.25">
      <c r="A207" s="2">
        <v>45995</v>
      </c>
      <c r="B207" s="2" t="s">
        <v>498</v>
      </c>
      <c r="C207" s="2" t="s">
        <v>496</v>
      </c>
      <c r="D207" s="3" t="s">
        <v>22</v>
      </c>
      <c r="E207" s="3" t="s">
        <v>28</v>
      </c>
      <c r="F207" s="3" t="s">
        <v>11</v>
      </c>
      <c r="G207" s="3" t="s">
        <v>105</v>
      </c>
      <c r="H207" s="3">
        <v>3</v>
      </c>
      <c r="I207" s="4">
        <v>15</v>
      </c>
      <c r="J207" s="3">
        <v>50</v>
      </c>
      <c r="K207" s="3">
        <v>20</v>
      </c>
      <c r="L207" s="3">
        <v>120</v>
      </c>
      <c r="M207" s="3">
        <v>75</v>
      </c>
      <c r="N207" s="3" t="s">
        <v>19</v>
      </c>
      <c r="O207" s="3" t="str">
        <f t="shared" si="3"/>
        <v>YES</v>
      </c>
      <c r="P207" s="3" t="s">
        <v>241</v>
      </c>
      <c r="Q207" s="3" t="s">
        <v>15</v>
      </c>
    </row>
    <row r="208" spans="1:17" x14ac:dyDescent="0.25">
      <c r="A208" s="2">
        <v>45701</v>
      </c>
      <c r="B208" s="2" t="s">
        <v>500</v>
      </c>
      <c r="C208" s="2" t="s">
        <v>496</v>
      </c>
      <c r="D208" s="3" t="s">
        <v>27</v>
      </c>
      <c r="E208" s="3" t="s">
        <v>70</v>
      </c>
      <c r="F208" s="3" t="s">
        <v>17</v>
      </c>
      <c r="G208" s="3" t="s">
        <v>68</v>
      </c>
      <c r="H208" s="3">
        <v>5</v>
      </c>
      <c r="I208" s="4">
        <v>10</v>
      </c>
      <c r="J208" s="3">
        <v>50</v>
      </c>
      <c r="K208" s="3">
        <v>15</v>
      </c>
      <c r="L208" s="3">
        <v>212.5</v>
      </c>
      <c r="M208" s="3">
        <v>162.5</v>
      </c>
      <c r="N208" s="3" t="s">
        <v>35</v>
      </c>
      <c r="O208" s="3" t="str">
        <f t="shared" si="3"/>
        <v>YES</v>
      </c>
      <c r="P208" s="3" t="s">
        <v>238</v>
      </c>
      <c r="Q208" s="3" t="s">
        <v>41</v>
      </c>
    </row>
    <row r="209" spans="1:17" x14ac:dyDescent="0.25">
      <c r="A209" s="2">
        <v>45968</v>
      </c>
      <c r="B209" s="2" t="s">
        <v>485</v>
      </c>
      <c r="C209" s="2" t="s">
        <v>484</v>
      </c>
      <c r="D209" s="3" t="s">
        <v>22</v>
      </c>
      <c r="E209" s="3" t="s">
        <v>70</v>
      </c>
      <c r="F209" s="3" t="s">
        <v>11</v>
      </c>
      <c r="G209" s="3" t="s">
        <v>115</v>
      </c>
      <c r="H209" s="3">
        <v>3</v>
      </c>
      <c r="I209" s="4">
        <v>45</v>
      </c>
      <c r="J209" s="3">
        <v>150</v>
      </c>
      <c r="K209" s="3">
        <v>5</v>
      </c>
      <c r="L209" s="3">
        <v>427.5</v>
      </c>
      <c r="M209" s="3">
        <v>292.5</v>
      </c>
      <c r="N209" s="3" t="s">
        <v>19</v>
      </c>
      <c r="O209" s="3" t="str">
        <f t="shared" si="3"/>
        <v>YES</v>
      </c>
      <c r="P209" s="3" t="s">
        <v>40</v>
      </c>
      <c r="Q209" s="3" t="s">
        <v>45</v>
      </c>
    </row>
    <row r="210" spans="1:17" x14ac:dyDescent="0.25">
      <c r="A210" s="2">
        <v>45826</v>
      </c>
      <c r="B210" s="2" t="s">
        <v>497</v>
      </c>
      <c r="C210" s="2" t="s">
        <v>487</v>
      </c>
      <c r="D210" s="3" t="s">
        <v>22</v>
      </c>
      <c r="E210" s="3" t="s">
        <v>23</v>
      </c>
      <c r="F210" s="3" t="s">
        <v>33</v>
      </c>
      <c r="G210" s="3" t="s">
        <v>63</v>
      </c>
      <c r="H210" s="3">
        <v>2</v>
      </c>
      <c r="I210" s="4">
        <v>22.5</v>
      </c>
      <c r="J210" s="3">
        <v>150</v>
      </c>
      <c r="K210" s="3">
        <v>20</v>
      </c>
      <c r="L210" s="3">
        <v>240</v>
      </c>
      <c r="M210" s="3">
        <v>195</v>
      </c>
      <c r="N210" s="3" t="s">
        <v>19</v>
      </c>
      <c r="O210" s="3" t="str">
        <f t="shared" si="3"/>
        <v>YES</v>
      </c>
      <c r="P210" s="3" t="s">
        <v>242</v>
      </c>
      <c r="Q210" s="3" t="s">
        <v>21</v>
      </c>
    </row>
    <row r="211" spans="1:17" x14ac:dyDescent="0.25">
      <c r="A211" s="2">
        <v>45832</v>
      </c>
      <c r="B211" s="2" t="s">
        <v>497</v>
      </c>
      <c r="C211" s="2" t="s">
        <v>493</v>
      </c>
      <c r="D211" s="3" t="s">
        <v>9</v>
      </c>
      <c r="E211" s="3" t="s">
        <v>16</v>
      </c>
      <c r="F211" s="3" t="s">
        <v>29</v>
      </c>
      <c r="G211" s="3" t="s">
        <v>83</v>
      </c>
      <c r="H211" s="3">
        <v>10</v>
      </c>
      <c r="I211" s="4">
        <v>60</v>
      </c>
      <c r="J211" s="3">
        <v>50</v>
      </c>
      <c r="K211" s="3">
        <v>0</v>
      </c>
      <c r="L211" s="3">
        <v>500</v>
      </c>
      <c r="M211" s="3">
        <v>-100</v>
      </c>
      <c r="N211" s="3" t="s">
        <v>13</v>
      </c>
      <c r="O211" s="3" t="str">
        <f t="shared" si="3"/>
        <v>NO</v>
      </c>
      <c r="P211" s="3" t="s">
        <v>243</v>
      </c>
      <c r="Q211" s="3" t="s">
        <v>15</v>
      </c>
    </row>
    <row r="212" spans="1:17" x14ac:dyDescent="0.25">
      <c r="A212" s="2">
        <v>45920</v>
      </c>
      <c r="B212" s="2" t="s">
        <v>483</v>
      </c>
      <c r="C212" s="2" t="s">
        <v>490</v>
      </c>
      <c r="D212" s="3" t="s">
        <v>9</v>
      </c>
      <c r="E212" s="3" t="s">
        <v>58</v>
      </c>
      <c r="F212" s="3" t="s">
        <v>24</v>
      </c>
      <c r="G212" s="3" t="s">
        <v>25</v>
      </c>
      <c r="H212" s="3">
        <v>2</v>
      </c>
      <c r="I212" s="4">
        <v>67.5</v>
      </c>
      <c r="J212" s="3">
        <v>150</v>
      </c>
      <c r="K212" s="3">
        <v>5</v>
      </c>
      <c r="L212" s="3">
        <v>285</v>
      </c>
      <c r="M212" s="3">
        <v>150</v>
      </c>
      <c r="N212" s="3" t="s">
        <v>19</v>
      </c>
      <c r="O212" s="3" t="str">
        <f t="shared" si="3"/>
        <v>YES</v>
      </c>
      <c r="P212" s="3" t="s">
        <v>244</v>
      </c>
      <c r="Q212" s="3" t="s">
        <v>15</v>
      </c>
    </row>
    <row r="213" spans="1:17" x14ac:dyDescent="0.25">
      <c r="A213" s="2">
        <v>45699</v>
      </c>
      <c r="B213" s="2" t="s">
        <v>500</v>
      </c>
      <c r="C213" s="2" t="s">
        <v>493</v>
      </c>
      <c r="D213" s="3" t="s">
        <v>32</v>
      </c>
      <c r="E213" s="3" t="s">
        <v>70</v>
      </c>
      <c r="F213" s="3" t="s">
        <v>29</v>
      </c>
      <c r="G213" s="3" t="s">
        <v>47</v>
      </c>
      <c r="H213" s="3">
        <v>10</v>
      </c>
      <c r="I213" s="4">
        <v>60</v>
      </c>
      <c r="J213" s="3">
        <v>50</v>
      </c>
      <c r="K213" s="3">
        <v>20</v>
      </c>
      <c r="L213" s="3">
        <v>400</v>
      </c>
      <c r="M213" s="3">
        <v>-200</v>
      </c>
      <c r="N213" s="3" t="s">
        <v>13</v>
      </c>
      <c r="O213" s="3" t="str">
        <f t="shared" si="3"/>
        <v>YES</v>
      </c>
      <c r="P213" s="3" t="s">
        <v>245</v>
      </c>
      <c r="Q213" s="3" t="s">
        <v>15</v>
      </c>
    </row>
    <row r="214" spans="1:17" x14ac:dyDescent="0.25">
      <c r="A214" s="2">
        <v>45809</v>
      </c>
      <c r="B214" s="2" t="s">
        <v>497</v>
      </c>
      <c r="C214" s="2" t="s">
        <v>488</v>
      </c>
      <c r="D214" s="3" t="s">
        <v>22</v>
      </c>
      <c r="E214" s="3" t="s">
        <v>28</v>
      </c>
      <c r="F214" s="3" t="s">
        <v>33</v>
      </c>
      <c r="G214" s="3" t="s">
        <v>63</v>
      </c>
      <c r="H214" s="3">
        <v>10</v>
      </c>
      <c r="I214" s="4">
        <v>45</v>
      </c>
      <c r="J214" s="3">
        <v>150</v>
      </c>
      <c r="K214" s="3">
        <v>15</v>
      </c>
      <c r="L214" s="3">
        <v>1275</v>
      </c>
      <c r="M214" s="3">
        <v>825</v>
      </c>
      <c r="N214" s="3" t="s">
        <v>19</v>
      </c>
      <c r="O214" s="3" t="str">
        <f t="shared" si="3"/>
        <v>YES</v>
      </c>
      <c r="P214" s="3" t="s">
        <v>167</v>
      </c>
      <c r="Q214" s="3" t="s">
        <v>41</v>
      </c>
    </row>
    <row r="215" spans="1:17" x14ac:dyDescent="0.25">
      <c r="A215" s="2">
        <v>45966</v>
      </c>
      <c r="B215" s="2" t="s">
        <v>485</v>
      </c>
      <c r="C215" s="2" t="s">
        <v>487</v>
      </c>
      <c r="D215" s="3" t="s">
        <v>27</v>
      </c>
      <c r="E215" s="3" t="s">
        <v>58</v>
      </c>
      <c r="F215" s="3" t="s">
        <v>17</v>
      </c>
      <c r="G215" s="3" t="s">
        <v>18</v>
      </c>
      <c r="H215" s="3">
        <v>5</v>
      </c>
      <c r="I215" s="4">
        <v>20</v>
      </c>
      <c r="J215" s="3">
        <v>100</v>
      </c>
      <c r="K215" s="3">
        <v>10</v>
      </c>
      <c r="L215" s="3">
        <v>450</v>
      </c>
      <c r="M215" s="3">
        <v>350</v>
      </c>
      <c r="N215" s="3" t="s">
        <v>35</v>
      </c>
      <c r="O215" s="3" t="str">
        <f t="shared" si="3"/>
        <v>YES</v>
      </c>
      <c r="P215" s="3" t="s">
        <v>178</v>
      </c>
      <c r="Q215" s="3" t="s">
        <v>37</v>
      </c>
    </row>
    <row r="216" spans="1:17" x14ac:dyDescent="0.25">
      <c r="A216" s="2">
        <v>45998</v>
      </c>
      <c r="B216" s="2" t="s">
        <v>498</v>
      </c>
      <c r="C216" s="2" t="s">
        <v>488</v>
      </c>
      <c r="D216" s="3" t="s">
        <v>38</v>
      </c>
      <c r="E216" s="3" t="s">
        <v>39</v>
      </c>
      <c r="F216" s="3" t="s">
        <v>33</v>
      </c>
      <c r="G216" s="3" t="s">
        <v>63</v>
      </c>
      <c r="H216" s="3">
        <v>10</v>
      </c>
      <c r="I216" s="4">
        <v>112.5</v>
      </c>
      <c r="J216" s="3">
        <v>100</v>
      </c>
      <c r="K216" s="3">
        <v>20</v>
      </c>
      <c r="L216" s="3">
        <v>800</v>
      </c>
      <c r="M216" s="3">
        <v>-325</v>
      </c>
      <c r="N216" s="3" t="s">
        <v>13</v>
      </c>
      <c r="O216" s="3" t="str">
        <f t="shared" si="3"/>
        <v>YES</v>
      </c>
      <c r="P216" s="3" t="s">
        <v>246</v>
      </c>
      <c r="Q216" s="3" t="s">
        <v>15</v>
      </c>
    </row>
    <row r="217" spans="1:17" x14ac:dyDescent="0.25">
      <c r="A217" s="2">
        <v>45902</v>
      </c>
      <c r="B217" s="2" t="s">
        <v>483</v>
      </c>
      <c r="C217" s="2" t="s">
        <v>493</v>
      </c>
      <c r="D217" s="3" t="s">
        <v>22</v>
      </c>
      <c r="E217" s="3" t="s">
        <v>23</v>
      </c>
      <c r="F217" s="3" t="s">
        <v>24</v>
      </c>
      <c r="G217" s="3" t="s">
        <v>42</v>
      </c>
      <c r="H217" s="3">
        <v>10</v>
      </c>
      <c r="I217" s="4">
        <v>112.5</v>
      </c>
      <c r="J217" s="3">
        <v>250</v>
      </c>
      <c r="K217" s="3">
        <v>5</v>
      </c>
      <c r="L217" s="3">
        <v>2375</v>
      </c>
      <c r="M217" s="3">
        <v>1250</v>
      </c>
      <c r="N217" s="3" t="s">
        <v>13</v>
      </c>
      <c r="O217" s="3" t="str">
        <f t="shared" si="3"/>
        <v>YES</v>
      </c>
      <c r="P217" s="3" t="s">
        <v>214</v>
      </c>
      <c r="Q217" s="3" t="s">
        <v>41</v>
      </c>
    </row>
    <row r="218" spans="1:17" x14ac:dyDescent="0.25">
      <c r="A218" s="2">
        <v>45733</v>
      </c>
      <c r="B218" s="2" t="s">
        <v>494</v>
      </c>
      <c r="C218" s="2" t="s">
        <v>491</v>
      </c>
      <c r="D218" s="3" t="s">
        <v>27</v>
      </c>
      <c r="E218" s="3" t="s">
        <v>10</v>
      </c>
      <c r="F218" s="3" t="s">
        <v>29</v>
      </c>
      <c r="G218" s="3" t="s">
        <v>47</v>
      </c>
      <c r="H218" s="3">
        <v>2</v>
      </c>
      <c r="I218" s="4">
        <v>60</v>
      </c>
      <c r="J218" s="3">
        <v>250</v>
      </c>
      <c r="K218" s="3">
        <v>20</v>
      </c>
      <c r="L218" s="3">
        <v>400</v>
      </c>
      <c r="M218" s="3">
        <v>280</v>
      </c>
      <c r="N218" s="3" t="s">
        <v>19</v>
      </c>
      <c r="O218" s="3" t="str">
        <f t="shared" si="3"/>
        <v>YES</v>
      </c>
      <c r="P218" s="3" t="s">
        <v>247</v>
      </c>
      <c r="Q218" s="3" t="s">
        <v>45</v>
      </c>
    </row>
    <row r="219" spans="1:17" x14ac:dyDescent="0.25">
      <c r="A219" s="2">
        <v>46002</v>
      </c>
      <c r="B219" s="2" t="s">
        <v>498</v>
      </c>
      <c r="C219" s="2" t="s">
        <v>496</v>
      </c>
      <c r="D219" s="3" t="s">
        <v>22</v>
      </c>
      <c r="E219" s="3" t="s">
        <v>58</v>
      </c>
      <c r="F219" s="3" t="s">
        <v>24</v>
      </c>
      <c r="G219" s="3" t="s">
        <v>71</v>
      </c>
      <c r="H219" s="3">
        <v>2</v>
      </c>
      <c r="I219" s="4">
        <v>67.5</v>
      </c>
      <c r="J219" s="3">
        <v>150</v>
      </c>
      <c r="K219" s="3">
        <v>0</v>
      </c>
      <c r="L219" s="3">
        <v>300</v>
      </c>
      <c r="M219" s="3">
        <v>165</v>
      </c>
      <c r="N219" s="3" t="s">
        <v>35</v>
      </c>
      <c r="O219" s="3" t="str">
        <f t="shared" si="3"/>
        <v>NO</v>
      </c>
      <c r="P219" s="3" t="s">
        <v>248</v>
      </c>
      <c r="Q219" s="3" t="s">
        <v>15</v>
      </c>
    </row>
    <row r="220" spans="1:17" x14ac:dyDescent="0.25">
      <c r="A220" s="2">
        <v>45779</v>
      </c>
      <c r="B220" s="2" t="s">
        <v>492</v>
      </c>
      <c r="C220" s="2" t="s">
        <v>484</v>
      </c>
      <c r="D220" s="3" t="s">
        <v>22</v>
      </c>
      <c r="E220" s="3" t="s">
        <v>70</v>
      </c>
      <c r="F220" s="3" t="s">
        <v>33</v>
      </c>
      <c r="G220" s="3" t="s">
        <v>34</v>
      </c>
      <c r="H220" s="3">
        <v>2</v>
      </c>
      <c r="I220" s="4">
        <v>67.5</v>
      </c>
      <c r="J220" s="3">
        <v>200</v>
      </c>
      <c r="K220" s="3">
        <v>20</v>
      </c>
      <c r="L220" s="3">
        <v>320</v>
      </c>
      <c r="M220" s="3">
        <v>185</v>
      </c>
      <c r="N220" s="3" t="s">
        <v>19</v>
      </c>
      <c r="O220" s="3" t="str">
        <f t="shared" si="3"/>
        <v>YES</v>
      </c>
      <c r="P220" s="3" t="s">
        <v>249</v>
      </c>
      <c r="Q220" s="3" t="s">
        <v>21</v>
      </c>
    </row>
    <row r="221" spans="1:17" x14ac:dyDescent="0.25">
      <c r="A221" s="2">
        <v>45771</v>
      </c>
      <c r="B221" s="2" t="s">
        <v>486</v>
      </c>
      <c r="C221" s="2" t="s">
        <v>496</v>
      </c>
      <c r="D221" s="3" t="s">
        <v>9</v>
      </c>
      <c r="E221" s="3" t="s">
        <v>28</v>
      </c>
      <c r="F221" s="3" t="s">
        <v>24</v>
      </c>
      <c r="G221" s="3" t="s">
        <v>71</v>
      </c>
      <c r="H221" s="3">
        <v>5</v>
      </c>
      <c r="I221" s="4">
        <v>67.5</v>
      </c>
      <c r="J221" s="3">
        <v>150</v>
      </c>
      <c r="K221" s="3">
        <v>0</v>
      </c>
      <c r="L221" s="3">
        <v>750</v>
      </c>
      <c r="M221" s="3">
        <v>412.5</v>
      </c>
      <c r="N221" s="3" t="s">
        <v>19</v>
      </c>
      <c r="O221" s="3" t="str">
        <f t="shared" si="3"/>
        <v>NO</v>
      </c>
      <c r="P221" s="3" t="s">
        <v>250</v>
      </c>
      <c r="Q221" s="3" t="s">
        <v>15</v>
      </c>
    </row>
    <row r="222" spans="1:17" x14ac:dyDescent="0.25">
      <c r="A222" s="2">
        <v>45956</v>
      </c>
      <c r="B222" s="2" t="s">
        <v>499</v>
      </c>
      <c r="C222" s="2" t="s">
        <v>488</v>
      </c>
      <c r="D222" s="3" t="s">
        <v>38</v>
      </c>
      <c r="E222" s="3" t="s">
        <v>58</v>
      </c>
      <c r="F222" s="3" t="s">
        <v>11</v>
      </c>
      <c r="G222" s="3" t="s">
        <v>131</v>
      </c>
      <c r="H222" s="3">
        <v>3</v>
      </c>
      <c r="I222" s="4">
        <v>30</v>
      </c>
      <c r="J222" s="3">
        <v>100</v>
      </c>
      <c r="K222" s="3">
        <v>15</v>
      </c>
      <c r="L222" s="3">
        <v>255</v>
      </c>
      <c r="M222" s="3">
        <v>165</v>
      </c>
      <c r="N222" s="3" t="s">
        <v>19</v>
      </c>
      <c r="O222" s="3" t="str">
        <f t="shared" si="3"/>
        <v>YES</v>
      </c>
      <c r="P222" s="3" t="s">
        <v>161</v>
      </c>
      <c r="Q222" s="3" t="s">
        <v>15</v>
      </c>
    </row>
    <row r="223" spans="1:17" x14ac:dyDescent="0.25">
      <c r="A223" s="2">
        <v>45706</v>
      </c>
      <c r="B223" s="2" t="s">
        <v>500</v>
      </c>
      <c r="C223" s="2" t="s">
        <v>493</v>
      </c>
      <c r="D223" s="3" t="s">
        <v>22</v>
      </c>
      <c r="E223" s="3" t="s">
        <v>16</v>
      </c>
      <c r="F223" s="3" t="s">
        <v>29</v>
      </c>
      <c r="G223" s="3" t="s">
        <v>83</v>
      </c>
      <c r="H223" s="3">
        <v>2</v>
      </c>
      <c r="I223" s="4">
        <v>60</v>
      </c>
      <c r="J223" s="3">
        <v>100</v>
      </c>
      <c r="K223" s="3">
        <v>10</v>
      </c>
      <c r="L223" s="3">
        <v>180</v>
      </c>
      <c r="M223" s="3">
        <v>60</v>
      </c>
      <c r="N223" s="3" t="s">
        <v>35</v>
      </c>
      <c r="O223" s="3" t="str">
        <f t="shared" si="3"/>
        <v>YES</v>
      </c>
      <c r="P223" s="3" t="s">
        <v>248</v>
      </c>
      <c r="Q223" s="3" t="s">
        <v>37</v>
      </c>
    </row>
    <row r="224" spans="1:17" x14ac:dyDescent="0.25">
      <c r="A224" s="2">
        <v>45784</v>
      </c>
      <c r="B224" s="2" t="s">
        <v>492</v>
      </c>
      <c r="C224" s="2" t="s">
        <v>487</v>
      </c>
      <c r="D224" s="3" t="s">
        <v>38</v>
      </c>
      <c r="E224" s="3" t="s">
        <v>58</v>
      </c>
      <c r="F224" s="3" t="s">
        <v>29</v>
      </c>
      <c r="G224" s="3" t="s">
        <v>83</v>
      </c>
      <c r="H224" s="3">
        <v>1</v>
      </c>
      <c r="I224" s="4">
        <v>100</v>
      </c>
      <c r="J224" s="3">
        <v>150</v>
      </c>
      <c r="K224" s="3">
        <v>20</v>
      </c>
      <c r="L224" s="3">
        <v>120</v>
      </c>
      <c r="M224" s="3">
        <v>20</v>
      </c>
      <c r="N224" s="3" t="s">
        <v>13</v>
      </c>
      <c r="O224" s="3" t="str">
        <f t="shared" si="3"/>
        <v>YES</v>
      </c>
      <c r="P224" s="3" t="s">
        <v>251</v>
      </c>
      <c r="Q224" s="3" t="s">
        <v>15</v>
      </c>
    </row>
    <row r="225" spans="1:17" x14ac:dyDescent="0.25">
      <c r="A225" s="2">
        <v>45796</v>
      </c>
      <c r="B225" s="2" t="s">
        <v>492</v>
      </c>
      <c r="C225" s="2" t="s">
        <v>491</v>
      </c>
      <c r="D225" s="3" t="s">
        <v>27</v>
      </c>
      <c r="E225" s="3" t="s">
        <v>23</v>
      </c>
      <c r="F225" s="3" t="s">
        <v>29</v>
      </c>
      <c r="G225" s="3" t="s">
        <v>54</v>
      </c>
      <c r="H225" s="3">
        <v>5</v>
      </c>
      <c r="I225" s="4">
        <v>60</v>
      </c>
      <c r="J225" s="3">
        <v>250</v>
      </c>
      <c r="K225" s="3">
        <v>10</v>
      </c>
      <c r="L225" s="3">
        <v>1125</v>
      </c>
      <c r="M225" s="3">
        <v>825</v>
      </c>
      <c r="N225" s="3" t="s">
        <v>13</v>
      </c>
      <c r="O225" s="3" t="str">
        <f t="shared" si="3"/>
        <v>YES</v>
      </c>
      <c r="P225" s="3" t="s">
        <v>252</v>
      </c>
      <c r="Q225" s="3" t="s">
        <v>45</v>
      </c>
    </row>
    <row r="226" spans="1:17" x14ac:dyDescent="0.25">
      <c r="A226" s="2">
        <v>45860</v>
      </c>
      <c r="B226" s="2" t="s">
        <v>501</v>
      </c>
      <c r="C226" s="2" t="s">
        <v>493</v>
      </c>
      <c r="D226" s="3" t="s">
        <v>27</v>
      </c>
      <c r="E226" s="3" t="s">
        <v>28</v>
      </c>
      <c r="F226" s="3" t="s">
        <v>17</v>
      </c>
      <c r="G226" s="3" t="s">
        <v>68</v>
      </c>
      <c r="H226" s="3">
        <v>5</v>
      </c>
      <c r="I226" s="4">
        <v>30</v>
      </c>
      <c r="J226" s="3">
        <v>150</v>
      </c>
      <c r="K226" s="3">
        <v>15</v>
      </c>
      <c r="L226" s="3">
        <v>637.5</v>
      </c>
      <c r="M226" s="3">
        <v>487.5</v>
      </c>
      <c r="N226" s="3" t="s">
        <v>19</v>
      </c>
      <c r="O226" s="3" t="str">
        <f t="shared" si="3"/>
        <v>YES</v>
      </c>
      <c r="P226" s="3" t="s">
        <v>253</v>
      </c>
      <c r="Q226" s="3" t="s">
        <v>45</v>
      </c>
    </row>
    <row r="227" spans="1:17" x14ac:dyDescent="0.25">
      <c r="A227" s="2">
        <v>45701</v>
      </c>
      <c r="B227" s="2" t="s">
        <v>500</v>
      </c>
      <c r="C227" s="2" t="s">
        <v>496</v>
      </c>
      <c r="D227" s="3" t="s">
        <v>22</v>
      </c>
      <c r="E227" s="3" t="s">
        <v>39</v>
      </c>
      <c r="F227" s="3" t="s">
        <v>24</v>
      </c>
      <c r="G227" s="3" t="s">
        <v>71</v>
      </c>
      <c r="H227" s="3">
        <v>3</v>
      </c>
      <c r="I227" s="4">
        <v>67.5</v>
      </c>
      <c r="J227" s="3">
        <v>150</v>
      </c>
      <c r="K227" s="3">
        <v>10</v>
      </c>
      <c r="L227" s="3">
        <v>405</v>
      </c>
      <c r="M227" s="3">
        <v>202.5</v>
      </c>
      <c r="N227" s="3" t="s">
        <v>35</v>
      </c>
      <c r="O227" s="3" t="str">
        <f t="shared" si="3"/>
        <v>YES</v>
      </c>
      <c r="P227" s="3" t="s">
        <v>254</v>
      </c>
      <c r="Q227" s="3" t="s">
        <v>15</v>
      </c>
    </row>
    <row r="228" spans="1:17" x14ac:dyDescent="0.25">
      <c r="A228" s="2">
        <v>45880</v>
      </c>
      <c r="B228" s="2" t="s">
        <v>495</v>
      </c>
      <c r="C228" s="2" t="s">
        <v>491</v>
      </c>
      <c r="D228" s="3" t="s">
        <v>27</v>
      </c>
      <c r="E228" s="3" t="s">
        <v>70</v>
      </c>
      <c r="F228" s="3" t="s">
        <v>33</v>
      </c>
      <c r="G228" s="3" t="s">
        <v>50</v>
      </c>
      <c r="H228" s="3">
        <v>2</v>
      </c>
      <c r="I228" s="4">
        <v>112.5</v>
      </c>
      <c r="J228" s="3">
        <v>150</v>
      </c>
      <c r="K228" s="3">
        <v>0</v>
      </c>
      <c r="L228" s="3">
        <v>300</v>
      </c>
      <c r="M228" s="3">
        <v>75</v>
      </c>
      <c r="N228" s="3" t="s">
        <v>19</v>
      </c>
      <c r="O228" s="3" t="str">
        <f t="shared" si="3"/>
        <v>NO</v>
      </c>
      <c r="P228" s="3" t="s">
        <v>255</v>
      </c>
      <c r="Q228" s="3" t="s">
        <v>21</v>
      </c>
    </row>
    <row r="229" spans="1:17" x14ac:dyDescent="0.25">
      <c r="A229" s="2">
        <v>45852</v>
      </c>
      <c r="B229" s="2" t="s">
        <v>501</v>
      </c>
      <c r="C229" s="2" t="s">
        <v>491</v>
      </c>
      <c r="D229" s="3" t="s">
        <v>38</v>
      </c>
      <c r="E229" s="3" t="s">
        <v>28</v>
      </c>
      <c r="F229" s="3" t="s">
        <v>11</v>
      </c>
      <c r="G229" s="3" t="s">
        <v>131</v>
      </c>
      <c r="H229" s="3">
        <v>1</v>
      </c>
      <c r="I229" s="4">
        <v>75</v>
      </c>
      <c r="J229" s="3">
        <v>250</v>
      </c>
      <c r="K229" s="3">
        <v>0</v>
      </c>
      <c r="L229" s="3">
        <v>250</v>
      </c>
      <c r="M229" s="3">
        <v>175</v>
      </c>
      <c r="N229" s="3" t="s">
        <v>35</v>
      </c>
      <c r="O229" s="3" t="str">
        <f t="shared" si="3"/>
        <v>NO</v>
      </c>
      <c r="P229" s="3" t="s">
        <v>256</v>
      </c>
      <c r="Q229" s="3" t="s">
        <v>41</v>
      </c>
    </row>
    <row r="230" spans="1:17" x14ac:dyDescent="0.25">
      <c r="A230" s="2">
        <v>45743</v>
      </c>
      <c r="B230" s="2" t="s">
        <v>494</v>
      </c>
      <c r="C230" s="2" t="s">
        <v>496</v>
      </c>
      <c r="D230" s="3" t="s">
        <v>9</v>
      </c>
      <c r="E230" s="3" t="s">
        <v>58</v>
      </c>
      <c r="F230" s="3" t="s">
        <v>24</v>
      </c>
      <c r="G230" s="3" t="s">
        <v>42</v>
      </c>
      <c r="H230" s="3">
        <v>2</v>
      </c>
      <c r="I230" s="4">
        <v>67.5</v>
      </c>
      <c r="J230" s="3">
        <v>150</v>
      </c>
      <c r="K230" s="3">
        <v>15</v>
      </c>
      <c r="L230" s="3">
        <v>255</v>
      </c>
      <c r="M230" s="3">
        <v>120</v>
      </c>
      <c r="N230" s="3" t="s">
        <v>19</v>
      </c>
      <c r="O230" s="3" t="str">
        <f t="shared" si="3"/>
        <v>YES</v>
      </c>
      <c r="P230" s="3" t="s">
        <v>257</v>
      </c>
      <c r="Q230" s="3" t="s">
        <v>61</v>
      </c>
    </row>
    <row r="231" spans="1:17" x14ac:dyDescent="0.25">
      <c r="A231" s="2">
        <v>45986</v>
      </c>
      <c r="B231" s="2" t="s">
        <v>485</v>
      </c>
      <c r="C231" s="2" t="s">
        <v>493</v>
      </c>
      <c r="D231" s="3" t="s">
        <v>22</v>
      </c>
      <c r="E231" s="3" t="s">
        <v>23</v>
      </c>
      <c r="F231" s="3" t="s">
        <v>17</v>
      </c>
      <c r="G231" s="3" t="s">
        <v>107</v>
      </c>
      <c r="H231" s="3">
        <v>2</v>
      </c>
      <c r="I231" s="4">
        <v>10</v>
      </c>
      <c r="J231" s="3">
        <v>50</v>
      </c>
      <c r="K231" s="3">
        <v>10</v>
      </c>
      <c r="L231" s="3">
        <v>90</v>
      </c>
      <c r="M231" s="3">
        <v>70</v>
      </c>
      <c r="N231" s="3" t="s">
        <v>19</v>
      </c>
      <c r="O231" s="3" t="str">
        <f t="shared" si="3"/>
        <v>YES</v>
      </c>
      <c r="P231" s="3" t="s">
        <v>258</v>
      </c>
      <c r="Q231" s="3" t="s">
        <v>21</v>
      </c>
    </row>
    <row r="232" spans="1:17" x14ac:dyDescent="0.25">
      <c r="A232" s="2">
        <v>45861</v>
      </c>
      <c r="B232" s="2" t="s">
        <v>501</v>
      </c>
      <c r="C232" s="2" t="s">
        <v>487</v>
      </c>
      <c r="D232" s="3" t="s">
        <v>9</v>
      </c>
      <c r="E232" s="3" t="s">
        <v>28</v>
      </c>
      <c r="F232" s="3" t="s">
        <v>11</v>
      </c>
      <c r="G232" s="3" t="s">
        <v>115</v>
      </c>
      <c r="H232" s="3">
        <v>10</v>
      </c>
      <c r="I232" s="4">
        <v>45</v>
      </c>
      <c r="J232" s="3">
        <v>150</v>
      </c>
      <c r="K232" s="3">
        <v>5</v>
      </c>
      <c r="L232" s="3">
        <v>1425</v>
      </c>
      <c r="M232" s="3">
        <v>975</v>
      </c>
      <c r="N232" s="3" t="s">
        <v>13</v>
      </c>
      <c r="O232" s="3" t="str">
        <f t="shared" si="3"/>
        <v>YES</v>
      </c>
      <c r="P232" s="3" t="s">
        <v>100</v>
      </c>
      <c r="Q232" s="3" t="s">
        <v>15</v>
      </c>
    </row>
    <row r="233" spans="1:17" x14ac:dyDescent="0.25">
      <c r="A233" s="2">
        <v>45949</v>
      </c>
      <c r="B233" s="2" t="s">
        <v>499</v>
      </c>
      <c r="C233" s="2" t="s">
        <v>488</v>
      </c>
      <c r="D233" s="3" t="s">
        <v>32</v>
      </c>
      <c r="E233" s="3" t="s">
        <v>16</v>
      </c>
      <c r="F233" s="3" t="s">
        <v>11</v>
      </c>
      <c r="G233" s="3" t="s">
        <v>105</v>
      </c>
      <c r="H233" s="3">
        <v>1</v>
      </c>
      <c r="I233" s="4">
        <v>15</v>
      </c>
      <c r="J233" s="3">
        <v>50</v>
      </c>
      <c r="K233" s="3">
        <v>0</v>
      </c>
      <c r="L233" s="3">
        <v>50</v>
      </c>
      <c r="M233" s="3">
        <v>35</v>
      </c>
      <c r="N233" s="3" t="s">
        <v>35</v>
      </c>
      <c r="O233" s="3" t="str">
        <f t="shared" si="3"/>
        <v>NO</v>
      </c>
      <c r="P233" s="3" t="s">
        <v>259</v>
      </c>
      <c r="Q233" s="3" t="s">
        <v>15</v>
      </c>
    </row>
    <row r="234" spans="1:17" x14ac:dyDescent="0.25">
      <c r="A234" s="2">
        <v>45980</v>
      </c>
      <c r="B234" s="2" t="s">
        <v>485</v>
      </c>
      <c r="C234" s="2" t="s">
        <v>487</v>
      </c>
      <c r="D234" s="3" t="s">
        <v>9</v>
      </c>
      <c r="E234" s="3" t="s">
        <v>58</v>
      </c>
      <c r="F234" s="3" t="s">
        <v>17</v>
      </c>
      <c r="G234" s="3" t="s">
        <v>18</v>
      </c>
      <c r="H234" s="3">
        <v>2</v>
      </c>
      <c r="I234" s="4">
        <v>40</v>
      </c>
      <c r="J234" s="3">
        <v>200</v>
      </c>
      <c r="K234" s="3">
        <v>0</v>
      </c>
      <c r="L234" s="3">
        <v>400</v>
      </c>
      <c r="M234" s="3">
        <v>320</v>
      </c>
      <c r="N234" s="3" t="s">
        <v>13</v>
      </c>
      <c r="O234" s="3" t="str">
        <f t="shared" si="3"/>
        <v>NO</v>
      </c>
      <c r="P234" s="3" t="s">
        <v>260</v>
      </c>
      <c r="Q234" s="3" t="s">
        <v>21</v>
      </c>
    </row>
    <row r="235" spans="1:17" x14ac:dyDescent="0.25">
      <c r="A235" s="2">
        <v>45964</v>
      </c>
      <c r="B235" s="2" t="s">
        <v>485</v>
      </c>
      <c r="C235" s="2" t="s">
        <v>491</v>
      </c>
      <c r="D235" s="3" t="s">
        <v>32</v>
      </c>
      <c r="E235" s="3" t="s">
        <v>58</v>
      </c>
      <c r="F235" s="3" t="s">
        <v>17</v>
      </c>
      <c r="G235" s="3" t="s">
        <v>68</v>
      </c>
      <c r="H235" s="3">
        <v>10</v>
      </c>
      <c r="I235" s="4">
        <v>30</v>
      </c>
      <c r="J235" s="3">
        <v>150</v>
      </c>
      <c r="K235" s="3">
        <v>5</v>
      </c>
      <c r="L235" s="3">
        <v>1425</v>
      </c>
      <c r="M235" s="3">
        <v>1125</v>
      </c>
      <c r="N235" s="3" t="s">
        <v>13</v>
      </c>
      <c r="O235" s="3" t="str">
        <f t="shared" si="3"/>
        <v>YES</v>
      </c>
      <c r="P235" s="3" t="s">
        <v>261</v>
      </c>
      <c r="Q235" s="3" t="s">
        <v>15</v>
      </c>
    </row>
    <row r="236" spans="1:17" x14ac:dyDescent="0.25">
      <c r="A236" s="2">
        <v>46007</v>
      </c>
      <c r="B236" s="2" t="s">
        <v>498</v>
      </c>
      <c r="C236" s="2" t="s">
        <v>493</v>
      </c>
      <c r="D236" s="3" t="s">
        <v>22</v>
      </c>
      <c r="E236" s="3" t="s">
        <v>23</v>
      </c>
      <c r="F236" s="3" t="s">
        <v>11</v>
      </c>
      <c r="G236" s="3" t="s">
        <v>131</v>
      </c>
      <c r="H236" s="3">
        <v>2</v>
      </c>
      <c r="I236" s="4">
        <v>45</v>
      </c>
      <c r="J236" s="3">
        <v>150</v>
      </c>
      <c r="K236" s="3">
        <v>20</v>
      </c>
      <c r="L236" s="3">
        <v>240</v>
      </c>
      <c r="M236" s="3">
        <v>150</v>
      </c>
      <c r="N236" s="3" t="s">
        <v>13</v>
      </c>
      <c r="O236" s="3" t="str">
        <f t="shared" si="3"/>
        <v>YES</v>
      </c>
      <c r="P236" s="3" t="s">
        <v>262</v>
      </c>
      <c r="Q236" s="3" t="s">
        <v>37</v>
      </c>
    </row>
    <row r="237" spans="1:17" x14ac:dyDescent="0.25">
      <c r="A237" s="2">
        <v>45911</v>
      </c>
      <c r="B237" s="2" t="s">
        <v>483</v>
      </c>
      <c r="C237" s="2" t="s">
        <v>496</v>
      </c>
      <c r="D237" s="3" t="s">
        <v>38</v>
      </c>
      <c r="E237" s="3" t="s">
        <v>23</v>
      </c>
      <c r="F237" s="3" t="s">
        <v>33</v>
      </c>
      <c r="G237" s="3" t="s">
        <v>63</v>
      </c>
      <c r="H237" s="3">
        <v>10</v>
      </c>
      <c r="I237" s="4">
        <v>67.5</v>
      </c>
      <c r="J237" s="3">
        <v>150</v>
      </c>
      <c r="K237" s="3">
        <v>5</v>
      </c>
      <c r="L237" s="3">
        <v>1425</v>
      </c>
      <c r="M237" s="3">
        <v>750</v>
      </c>
      <c r="N237" s="3" t="s">
        <v>13</v>
      </c>
      <c r="O237" s="3" t="str">
        <f t="shared" si="3"/>
        <v>YES</v>
      </c>
      <c r="P237" s="3" t="s">
        <v>263</v>
      </c>
      <c r="Q237" s="3" t="s">
        <v>21</v>
      </c>
    </row>
    <row r="238" spans="1:17" x14ac:dyDescent="0.25">
      <c r="A238" s="2">
        <v>45956</v>
      </c>
      <c r="B238" s="2" t="s">
        <v>499</v>
      </c>
      <c r="C238" s="2" t="s">
        <v>488</v>
      </c>
      <c r="D238" s="3" t="s">
        <v>38</v>
      </c>
      <c r="E238" s="3" t="s">
        <v>39</v>
      </c>
      <c r="F238" s="3" t="s">
        <v>29</v>
      </c>
      <c r="G238" s="3" t="s">
        <v>83</v>
      </c>
      <c r="H238" s="3">
        <v>3</v>
      </c>
      <c r="I238" s="4">
        <v>60</v>
      </c>
      <c r="J238" s="3">
        <v>150</v>
      </c>
      <c r="K238" s="3">
        <v>0</v>
      </c>
      <c r="L238" s="3">
        <v>450</v>
      </c>
      <c r="M238" s="3">
        <v>270</v>
      </c>
      <c r="N238" s="3" t="s">
        <v>19</v>
      </c>
      <c r="O238" s="3" t="str">
        <f t="shared" si="3"/>
        <v>NO</v>
      </c>
      <c r="P238" s="3" t="s">
        <v>264</v>
      </c>
      <c r="Q238" s="3" t="s">
        <v>41</v>
      </c>
    </row>
    <row r="239" spans="1:17" x14ac:dyDescent="0.25">
      <c r="A239" s="2">
        <v>45694</v>
      </c>
      <c r="B239" s="2" t="s">
        <v>500</v>
      </c>
      <c r="C239" s="2" t="s">
        <v>496</v>
      </c>
      <c r="D239" s="3" t="s">
        <v>22</v>
      </c>
      <c r="E239" s="3" t="s">
        <v>23</v>
      </c>
      <c r="F239" s="3" t="s">
        <v>24</v>
      </c>
      <c r="G239" s="3" t="s">
        <v>25</v>
      </c>
      <c r="H239" s="3">
        <v>1</v>
      </c>
      <c r="I239" s="4">
        <v>67.5</v>
      </c>
      <c r="J239" s="3">
        <v>150</v>
      </c>
      <c r="K239" s="3">
        <v>10</v>
      </c>
      <c r="L239" s="3">
        <v>135</v>
      </c>
      <c r="M239" s="3">
        <v>67.5</v>
      </c>
      <c r="N239" s="3" t="s">
        <v>35</v>
      </c>
      <c r="O239" s="3" t="str">
        <f t="shared" si="3"/>
        <v>YES</v>
      </c>
      <c r="P239" s="3" t="s">
        <v>265</v>
      </c>
      <c r="Q239" s="3" t="s">
        <v>41</v>
      </c>
    </row>
    <row r="240" spans="1:17" x14ac:dyDescent="0.25">
      <c r="A240" s="2">
        <v>45783</v>
      </c>
      <c r="B240" s="2" t="s">
        <v>492</v>
      </c>
      <c r="C240" s="2" t="s">
        <v>493</v>
      </c>
      <c r="D240" s="3" t="s">
        <v>32</v>
      </c>
      <c r="E240" s="3" t="s">
        <v>39</v>
      </c>
      <c r="F240" s="3" t="s">
        <v>11</v>
      </c>
      <c r="G240" s="3" t="s">
        <v>131</v>
      </c>
      <c r="H240" s="3">
        <v>5</v>
      </c>
      <c r="I240" s="4">
        <v>15</v>
      </c>
      <c r="J240" s="3">
        <v>50</v>
      </c>
      <c r="K240" s="3">
        <v>5</v>
      </c>
      <c r="L240" s="3">
        <v>237.5</v>
      </c>
      <c r="M240" s="3">
        <v>162.5</v>
      </c>
      <c r="N240" s="3" t="s">
        <v>13</v>
      </c>
      <c r="O240" s="3" t="str">
        <f t="shared" si="3"/>
        <v>YES</v>
      </c>
      <c r="P240" s="3" t="s">
        <v>266</v>
      </c>
      <c r="Q240" s="3" t="s">
        <v>15</v>
      </c>
    </row>
    <row r="241" spans="1:17" x14ac:dyDescent="0.25">
      <c r="A241" s="2">
        <v>45809</v>
      </c>
      <c r="B241" s="2" t="s">
        <v>497</v>
      </c>
      <c r="C241" s="2" t="s">
        <v>488</v>
      </c>
      <c r="D241" s="3" t="s">
        <v>9</v>
      </c>
      <c r="E241" s="3" t="s">
        <v>58</v>
      </c>
      <c r="F241" s="3" t="s">
        <v>29</v>
      </c>
      <c r="G241" s="3" t="s">
        <v>54</v>
      </c>
      <c r="H241" s="3">
        <v>1</v>
      </c>
      <c r="I241" s="4">
        <v>40</v>
      </c>
      <c r="J241" s="3">
        <v>50</v>
      </c>
      <c r="K241" s="3">
        <v>20</v>
      </c>
      <c r="L241" s="3">
        <v>40</v>
      </c>
      <c r="M241" s="3">
        <v>0</v>
      </c>
      <c r="N241" s="3" t="s">
        <v>19</v>
      </c>
      <c r="O241" s="3" t="str">
        <f t="shared" si="3"/>
        <v>YES</v>
      </c>
      <c r="P241" s="3" t="s">
        <v>267</v>
      </c>
      <c r="Q241" s="3" t="s">
        <v>61</v>
      </c>
    </row>
    <row r="242" spans="1:17" x14ac:dyDescent="0.25">
      <c r="A242" s="2">
        <v>45738</v>
      </c>
      <c r="B242" s="2" t="s">
        <v>494</v>
      </c>
      <c r="C242" s="2" t="s">
        <v>490</v>
      </c>
      <c r="D242" s="3" t="s">
        <v>38</v>
      </c>
      <c r="E242" s="3" t="s">
        <v>28</v>
      </c>
      <c r="F242" s="3" t="s">
        <v>33</v>
      </c>
      <c r="G242" s="3" t="s">
        <v>63</v>
      </c>
      <c r="H242" s="3">
        <v>10</v>
      </c>
      <c r="I242" s="4">
        <v>45</v>
      </c>
      <c r="J242" s="3">
        <v>100</v>
      </c>
      <c r="K242" s="3">
        <v>0</v>
      </c>
      <c r="L242" s="3">
        <v>1000</v>
      </c>
      <c r="M242" s="3">
        <v>550</v>
      </c>
      <c r="N242" s="3" t="s">
        <v>13</v>
      </c>
      <c r="O242" s="3" t="str">
        <f t="shared" si="3"/>
        <v>NO</v>
      </c>
      <c r="P242" s="3" t="s">
        <v>108</v>
      </c>
      <c r="Q242" s="3" t="s">
        <v>15</v>
      </c>
    </row>
    <row r="243" spans="1:17" x14ac:dyDescent="0.25">
      <c r="A243" s="2">
        <v>45674</v>
      </c>
      <c r="B243" s="2" t="s">
        <v>489</v>
      </c>
      <c r="C243" s="2" t="s">
        <v>484</v>
      </c>
      <c r="D243" s="3" t="s">
        <v>32</v>
      </c>
      <c r="E243" s="3" t="s">
        <v>70</v>
      </c>
      <c r="F243" s="3" t="s">
        <v>11</v>
      </c>
      <c r="G243" s="3" t="s">
        <v>105</v>
      </c>
      <c r="H243" s="3">
        <v>2</v>
      </c>
      <c r="I243" s="4">
        <v>30</v>
      </c>
      <c r="J243" s="3">
        <v>100</v>
      </c>
      <c r="K243" s="3">
        <v>10</v>
      </c>
      <c r="L243" s="3">
        <v>180</v>
      </c>
      <c r="M243" s="3">
        <v>120</v>
      </c>
      <c r="N243" s="3" t="s">
        <v>35</v>
      </c>
      <c r="O243" s="3" t="str">
        <f t="shared" si="3"/>
        <v>YES</v>
      </c>
      <c r="P243" s="3" t="s">
        <v>268</v>
      </c>
      <c r="Q243" s="3" t="s">
        <v>21</v>
      </c>
    </row>
    <row r="244" spans="1:17" x14ac:dyDescent="0.25">
      <c r="A244" s="2">
        <v>45713</v>
      </c>
      <c r="B244" s="2" t="s">
        <v>500</v>
      </c>
      <c r="C244" s="2" t="s">
        <v>493</v>
      </c>
      <c r="D244" s="3" t="s">
        <v>32</v>
      </c>
      <c r="E244" s="3" t="s">
        <v>58</v>
      </c>
      <c r="F244" s="3" t="s">
        <v>11</v>
      </c>
      <c r="G244" s="3" t="s">
        <v>115</v>
      </c>
      <c r="H244" s="3">
        <v>2</v>
      </c>
      <c r="I244" s="4">
        <v>30</v>
      </c>
      <c r="J244" s="3">
        <v>100</v>
      </c>
      <c r="K244" s="3">
        <v>10</v>
      </c>
      <c r="L244" s="3">
        <v>180</v>
      </c>
      <c r="M244" s="3">
        <v>120</v>
      </c>
      <c r="N244" s="3" t="s">
        <v>35</v>
      </c>
      <c r="O244" s="3" t="str">
        <f t="shared" si="3"/>
        <v>YES</v>
      </c>
      <c r="P244" s="3" t="s">
        <v>155</v>
      </c>
      <c r="Q244" s="3" t="s">
        <v>61</v>
      </c>
    </row>
    <row r="245" spans="1:17" x14ac:dyDescent="0.25">
      <c r="A245" s="2">
        <v>45904</v>
      </c>
      <c r="B245" s="2" t="s">
        <v>483</v>
      </c>
      <c r="C245" s="2" t="s">
        <v>496</v>
      </c>
      <c r="D245" s="3" t="s">
        <v>38</v>
      </c>
      <c r="E245" s="3" t="s">
        <v>10</v>
      </c>
      <c r="F245" s="3" t="s">
        <v>24</v>
      </c>
      <c r="G245" s="3" t="s">
        <v>71</v>
      </c>
      <c r="H245" s="3">
        <v>3</v>
      </c>
      <c r="I245" s="4">
        <v>22.5</v>
      </c>
      <c r="J245" s="3">
        <v>50</v>
      </c>
      <c r="K245" s="3">
        <v>20</v>
      </c>
      <c r="L245" s="3">
        <v>120</v>
      </c>
      <c r="M245" s="3">
        <v>52.5</v>
      </c>
      <c r="N245" s="3" t="s">
        <v>13</v>
      </c>
      <c r="O245" s="3" t="str">
        <f t="shared" si="3"/>
        <v>YES</v>
      </c>
      <c r="P245" s="3" t="s">
        <v>269</v>
      </c>
      <c r="Q245" s="3" t="s">
        <v>61</v>
      </c>
    </row>
    <row r="246" spans="1:17" x14ac:dyDescent="0.25">
      <c r="A246" s="2">
        <v>45678</v>
      </c>
      <c r="B246" s="2" t="s">
        <v>489</v>
      </c>
      <c r="C246" s="2" t="s">
        <v>493</v>
      </c>
      <c r="D246" s="3" t="s">
        <v>32</v>
      </c>
      <c r="E246" s="3" t="s">
        <v>28</v>
      </c>
      <c r="F246" s="3" t="s">
        <v>29</v>
      </c>
      <c r="G246" s="3" t="s">
        <v>83</v>
      </c>
      <c r="H246" s="3">
        <v>10</v>
      </c>
      <c r="I246" s="4">
        <v>80</v>
      </c>
      <c r="J246" s="3">
        <v>250</v>
      </c>
      <c r="K246" s="3">
        <v>0</v>
      </c>
      <c r="L246" s="3">
        <v>2500</v>
      </c>
      <c r="M246" s="3">
        <v>1700</v>
      </c>
      <c r="N246" s="3" t="s">
        <v>19</v>
      </c>
      <c r="O246" s="3" t="str">
        <f t="shared" si="3"/>
        <v>NO</v>
      </c>
      <c r="P246" s="3" t="s">
        <v>270</v>
      </c>
      <c r="Q246" s="3" t="s">
        <v>41</v>
      </c>
    </row>
    <row r="247" spans="1:17" x14ac:dyDescent="0.25">
      <c r="A247" s="2">
        <v>45715</v>
      </c>
      <c r="B247" s="2" t="s">
        <v>500</v>
      </c>
      <c r="C247" s="2" t="s">
        <v>496</v>
      </c>
      <c r="D247" s="3" t="s">
        <v>38</v>
      </c>
      <c r="E247" s="3" t="s">
        <v>16</v>
      </c>
      <c r="F247" s="3" t="s">
        <v>11</v>
      </c>
      <c r="G247" s="3" t="s">
        <v>115</v>
      </c>
      <c r="H247" s="3">
        <v>10</v>
      </c>
      <c r="I247" s="4">
        <v>60</v>
      </c>
      <c r="J247" s="3">
        <v>200</v>
      </c>
      <c r="K247" s="3">
        <v>5</v>
      </c>
      <c r="L247" s="3">
        <v>1900</v>
      </c>
      <c r="M247" s="3">
        <v>1300</v>
      </c>
      <c r="N247" s="3" t="s">
        <v>19</v>
      </c>
      <c r="O247" s="3" t="str">
        <f t="shared" si="3"/>
        <v>YES</v>
      </c>
      <c r="P247" s="3" t="s">
        <v>271</v>
      </c>
      <c r="Q247" s="3" t="s">
        <v>45</v>
      </c>
    </row>
    <row r="248" spans="1:17" x14ac:dyDescent="0.25">
      <c r="A248" s="2">
        <v>45973</v>
      </c>
      <c r="B248" s="2" t="s">
        <v>485</v>
      </c>
      <c r="C248" s="2" t="s">
        <v>487</v>
      </c>
      <c r="D248" s="3" t="s">
        <v>38</v>
      </c>
      <c r="E248" s="3" t="s">
        <v>10</v>
      </c>
      <c r="F248" s="3" t="s">
        <v>11</v>
      </c>
      <c r="G248" s="3" t="s">
        <v>12</v>
      </c>
      <c r="H248" s="3">
        <v>5</v>
      </c>
      <c r="I248" s="4">
        <v>60</v>
      </c>
      <c r="J248" s="3">
        <v>200</v>
      </c>
      <c r="K248" s="3">
        <v>10</v>
      </c>
      <c r="L248" s="3">
        <v>900</v>
      </c>
      <c r="M248" s="3">
        <v>600</v>
      </c>
      <c r="N248" s="3" t="s">
        <v>13</v>
      </c>
      <c r="O248" s="3" t="str">
        <f t="shared" si="3"/>
        <v>YES</v>
      </c>
      <c r="P248" s="3" t="s">
        <v>272</v>
      </c>
      <c r="Q248" s="3" t="s">
        <v>37</v>
      </c>
    </row>
    <row r="249" spans="1:17" x14ac:dyDescent="0.25">
      <c r="A249" s="2">
        <v>45969</v>
      </c>
      <c r="B249" s="2" t="s">
        <v>485</v>
      </c>
      <c r="C249" s="2" t="s">
        <v>490</v>
      </c>
      <c r="D249" s="3" t="s">
        <v>27</v>
      </c>
      <c r="E249" s="3" t="s">
        <v>16</v>
      </c>
      <c r="F249" s="3" t="s">
        <v>17</v>
      </c>
      <c r="G249" s="3" t="s">
        <v>56</v>
      </c>
      <c r="H249" s="3">
        <v>2</v>
      </c>
      <c r="I249" s="4">
        <v>30</v>
      </c>
      <c r="J249" s="3">
        <v>150</v>
      </c>
      <c r="K249" s="3">
        <v>5</v>
      </c>
      <c r="L249" s="3">
        <v>285</v>
      </c>
      <c r="M249" s="3">
        <v>225</v>
      </c>
      <c r="N249" s="3" t="s">
        <v>35</v>
      </c>
      <c r="O249" s="3" t="str">
        <f t="shared" si="3"/>
        <v>YES</v>
      </c>
      <c r="P249" s="3" t="s">
        <v>273</v>
      </c>
      <c r="Q249" s="3" t="s">
        <v>15</v>
      </c>
    </row>
    <row r="250" spans="1:17" x14ac:dyDescent="0.25">
      <c r="A250" s="2">
        <v>45683</v>
      </c>
      <c r="B250" s="2" t="s">
        <v>489</v>
      </c>
      <c r="C250" s="2" t="s">
        <v>488</v>
      </c>
      <c r="D250" s="3" t="s">
        <v>9</v>
      </c>
      <c r="E250" s="3" t="s">
        <v>23</v>
      </c>
      <c r="F250" s="3" t="s">
        <v>24</v>
      </c>
      <c r="G250" s="3" t="s">
        <v>42</v>
      </c>
      <c r="H250" s="3">
        <v>1</v>
      </c>
      <c r="I250" s="4">
        <v>90</v>
      </c>
      <c r="J250" s="3">
        <v>200</v>
      </c>
      <c r="K250" s="3">
        <v>15</v>
      </c>
      <c r="L250" s="3">
        <v>170</v>
      </c>
      <c r="M250" s="3">
        <v>80</v>
      </c>
      <c r="N250" s="3" t="s">
        <v>19</v>
      </c>
      <c r="O250" s="3" t="str">
        <f t="shared" si="3"/>
        <v>YES</v>
      </c>
      <c r="P250" s="3" t="s">
        <v>90</v>
      </c>
      <c r="Q250" s="3" t="s">
        <v>61</v>
      </c>
    </row>
    <row r="251" spans="1:17" x14ac:dyDescent="0.25">
      <c r="A251" s="2">
        <v>46009</v>
      </c>
      <c r="B251" s="2" t="s">
        <v>498</v>
      </c>
      <c r="C251" s="2" t="s">
        <v>496</v>
      </c>
      <c r="D251" s="3" t="s">
        <v>27</v>
      </c>
      <c r="E251" s="3" t="s">
        <v>16</v>
      </c>
      <c r="F251" s="3" t="s">
        <v>29</v>
      </c>
      <c r="G251" s="3" t="s">
        <v>83</v>
      </c>
      <c r="H251" s="3">
        <v>2</v>
      </c>
      <c r="I251" s="4">
        <v>40</v>
      </c>
      <c r="J251" s="3">
        <v>150</v>
      </c>
      <c r="K251" s="3">
        <v>0</v>
      </c>
      <c r="L251" s="3">
        <v>300</v>
      </c>
      <c r="M251" s="3">
        <v>220</v>
      </c>
      <c r="N251" s="3" t="s">
        <v>13</v>
      </c>
      <c r="O251" s="3" t="str">
        <f t="shared" si="3"/>
        <v>NO</v>
      </c>
      <c r="P251" s="3" t="s">
        <v>274</v>
      </c>
      <c r="Q251" s="3" t="s">
        <v>21</v>
      </c>
    </row>
    <row r="252" spans="1:17" x14ac:dyDescent="0.25">
      <c r="A252" s="2">
        <v>45778</v>
      </c>
      <c r="B252" s="2" t="s">
        <v>492</v>
      </c>
      <c r="C252" s="2" t="s">
        <v>496</v>
      </c>
      <c r="D252" s="3" t="s">
        <v>9</v>
      </c>
      <c r="E252" s="3" t="s">
        <v>23</v>
      </c>
      <c r="F252" s="3" t="s">
        <v>29</v>
      </c>
      <c r="G252" s="3" t="s">
        <v>30</v>
      </c>
      <c r="H252" s="3">
        <v>5</v>
      </c>
      <c r="I252" s="4">
        <v>20</v>
      </c>
      <c r="J252" s="3">
        <v>100</v>
      </c>
      <c r="K252" s="3">
        <v>10</v>
      </c>
      <c r="L252" s="3">
        <v>450</v>
      </c>
      <c r="M252" s="3">
        <v>350</v>
      </c>
      <c r="N252" s="3" t="s">
        <v>13</v>
      </c>
      <c r="O252" s="3" t="str">
        <f t="shared" si="3"/>
        <v>YES</v>
      </c>
      <c r="P252" s="3" t="s">
        <v>275</v>
      </c>
      <c r="Q252" s="3" t="s">
        <v>45</v>
      </c>
    </row>
    <row r="253" spans="1:17" x14ac:dyDescent="0.25">
      <c r="A253" s="2">
        <v>46017</v>
      </c>
      <c r="B253" s="2" t="s">
        <v>498</v>
      </c>
      <c r="C253" s="2" t="s">
        <v>484</v>
      </c>
      <c r="D253" s="3" t="s">
        <v>9</v>
      </c>
      <c r="E253" s="3" t="s">
        <v>10</v>
      </c>
      <c r="F253" s="3" t="s">
        <v>24</v>
      </c>
      <c r="G253" s="3" t="s">
        <v>42</v>
      </c>
      <c r="H253" s="3">
        <v>10</v>
      </c>
      <c r="I253" s="4">
        <v>22.5</v>
      </c>
      <c r="J253" s="3">
        <v>50</v>
      </c>
      <c r="K253" s="3">
        <v>0</v>
      </c>
      <c r="L253" s="3">
        <v>500</v>
      </c>
      <c r="M253" s="3">
        <v>275</v>
      </c>
      <c r="N253" s="3" t="s">
        <v>13</v>
      </c>
      <c r="O253" s="3" t="str">
        <f t="shared" si="3"/>
        <v>NO</v>
      </c>
      <c r="P253" s="3" t="s">
        <v>276</v>
      </c>
      <c r="Q253" s="3" t="s">
        <v>37</v>
      </c>
    </row>
    <row r="254" spans="1:17" x14ac:dyDescent="0.25">
      <c r="A254" s="2">
        <v>45675</v>
      </c>
      <c r="B254" s="2" t="s">
        <v>489</v>
      </c>
      <c r="C254" s="2" t="s">
        <v>490</v>
      </c>
      <c r="D254" s="3" t="s">
        <v>22</v>
      </c>
      <c r="E254" s="3" t="s">
        <v>39</v>
      </c>
      <c r="F254" s="3" t="s">
        <v>11</v>
      </c>
      <c r="G254" s="3" t="s">
        <v>131</v>
      </c>
      <c r="H254" s="3">
        <v>5</v>
      </c>
      <c r="I254" s="4">
        <v>45</v>
      </c>
      <c r="J254" s="3">
        <v>150</v>
      </c>
      <c r="K254" s="3">
        <v>15</v>
      </c>
      <c r="L254" s="3">
        <v>637.5</v>
      </c>
      <c r="M254" s="3">
        <v>412.5</v>
      </c>
      <c r="N254" s="3" t="s">
        <v>13</v>
      </c>
      <c r="O254" s="3" t="str">
        <f t="shared" si="3"/>
        <v>YES</v>
      </c>
      <c r="P254" s="3" t="s">
        <v>277</v>
      </c>
      <c r="Q254" s="3" t="s">
        <v>15</v>
      </c>
    </row>
    <row r="255" spans="1:17" x14ac:dyDescent="0.25">
      <c r="A255" s="2">
        <v>45973</v>
      </c>
      <c r="B255" s="2" t="s">
        <v>485</v>
      </c>
      <c r="C255" s="2" t="s">
        <v>487</v>
      </c>
      <c r="D255" s="3" t="s">
        <v>32</v>
      </c>
      <c r="E255" s="3" t="s">
        <v>10</v>
      </c>
      <c r="F255" s="3" t="s">
        <v>29</v>
      </c>
      <c r="G255" s="3" t="s">
        <v>30</v>
      </c>
      <c r="H255" s="3">
        <v>2</v>
      </c>
      <c r="I255" s="4">
        <v>20</v>
      </c>
      <c r="J255" s="3">
        <v>150</v>
      </c>
      <c r="K255" s="3">
        <v>20</v>
      </c>
      <c r="L255" s="3">
        <v>240</v>
      </c>
      <c r="M255" s="3">
        <v>200</v>
      </c>
      <c r="N255" s="3" t="s">
        <v>13</v>
      </c>
      <c r="O255" s="3" t="str">
        <f t="shared" si="3"/>
        <v>YES</v>
      </c>
      <c r="P255" s="3" t="s">
        <v>278</v>
      </c>
      <c r="Q255" s="3" t="s">
        <v>41</v>
      </c>
    </row>
    <row r="256" spans="1:17" x14ac:dyDescent="0.25">
      <c r="A256" s="2">
        <v>45739</v>
      </c>
      <c r="B256" s="2" t="s">
        <v>494</v>
      </c>
      <c r="C256" s="2" t="s">
        <v>488</v>
      </c>
      <c r="D256" s="3" t="s">
        <v>38</v>
      </c>
      <c r="E256" s="3" t="s">
        <v>58</v>
      </c>
      <c r="F256" s="3" t="s">
        <v>11</v>
      </c>
      <c r="G256" s="3" t="s">
        <v>59</v>
      </c>
      <c r="H256" s="3">
        <v>10</v>
      </c>
      <c r="I256" s="4">
        <v>15</v>
      </c>
      <c r="J256" s="3">
        <v>50</v>
      </c>
      <c r="K256" s="3">
        <v>0</v>
      </c>
      <c r="L256" s="3">
        <v>500</v>
      </c>
      <c r="M256" s="3">
        <v>350</v>
      </c>
      <c r="N256" s="3" t="s">
        <v>13</v>
      </c>
      <c r="O256" s="3" t="str">
        <f t="shared" si="3"/>
        <v>NO</v>
      </c>
      <c r="P256" s="3" t="s">
        <v>261</v>
      </c>
      <c r="Q256" s="3" t="s">
        <v>15</v>
      </c>
    </row>
    <row r="257" spans="1:17" x14ac:dyDescent="0.25">
      <c r="A257" s="2">
        <v>45860</v>
      </c>
      <c r="B257" s="2" t="s">
        <v>501</v>
      </c>
      <c r="C257" s="2" t="s">
        <v>493</v>
      </c>
      <c r="D257" s="3" t="s">
        <v>9</v>
      </c>
      <c r="E257" s="3" t="s">
        <v>10</v>
      </c>
      <c r="F257" s="3" t="s">
        <v>11</v>
      </c>
      <c r="G257" s="3" t="s">
        <v>59</v>
      </c>
      <c r="H257" s="3">
        <v>3</v>
      </c>
      <c r="I257" s="4">
        <v>30</v>
      </c>
      <c r="J257" s="3">
        <v>100</v>
      </c>
      <c r="K257" s="3">
        <v>20</v>
      </c>
      <c r="L257" s="3">
        <v>240</v>
      </c>
      <c r="M257" s="3">
        <v>150</v>
      </c>
      <c r="N257" s="3" t="s">
        <v>13</v>
      </c>
      <c r="O257" s="3" t="str">
        <f t="shared" si="3"/>
        <v>YES</v>
      </c>
      <c r="P257" s="3" t="s">
        <v>279</v>
      </c>
      <c r="Q257" s="3" t="s">
        <v>15</v>
      </c>
    </row>
    <row r="258" spans="1:17" x14ac:dyDescent="0.25">
      <c r="A258" s="2">
        <v>45998</v>
      </c>
      <c r="B258" s="2" t="s">
        <v>498</v>
      </c>
      <c r="C258" s="2" t="s">
        <v>488</v>
      </c>
      <c r="D258" s="3" t="s">
        <v>38</v>
      </c>
      <c r="E258" s="3" t="s">
        <v>16</v>
      </c>
      <c r="F258" s="3" t="s">
        <v>29</v>
      </c>
      <c r="G258" s="3" t="s">
        <v>47</v>
      </c>
      <c r="H258" s="3">
        <v>1</v>
      </c>
      <c r="I258" s="4">
        <v>60</v>
      </c>
      <c r="J258" s="3">
        <v>250</v>
      </c>
      <c r="K258" s="3">
        <v>0</v>
      </c>
      <c r="L258" s="3">
        <v>250</v>
      </c>
      <c r="M258" s="3">
        <v>190</v>
      </c>
      <c r="N258" s="3" t="s">
        <v>13</v>
      </c>
      <c r="O258" s="3" t="str">
        <f t="shared" si="3"/>
        <v>NO</v>
      </c>
      <c r="P258" s="3" t="s">
        <v>280</v>
      </c>
      <c r="Q258" s="3" t="s">
        <v>21</v>
      </c>
    </row>
    <row r="259" spans="1:17" x14ac:dyDescent="0.25">
      <c r="A259" s="2">
        <v>45873</v>
      </c>
      <c r="B259" s="2" t="s">
        <v>495</v>
      </c>
      <c r="C259" s="2" t="s">
        <v>491</v>
      </c>
      <c r="D259" s="3" t="s">
        <v>9</v>
      </c>
      <c r="E259" s="3" t="s">
        <v>70</v>
      </c>
      <c r="F259" s="3" t="s">
        <v>33</v>
      </c>
      <c r="G259" s="3" t="s">
        <v>79</v>
      </c>
      <c r="H259" s="3">
        <v>2</v>
      </c>
      <c r="I259" s="4">
        <v>67.5</v>
      </c>
      <c r="J259" s="3">
        <v>150</v>
      </c>
      <c r="K259" s="3">
        <v>15</v>
      </c>
      <c r="L259" s="3">
        <v>255</v>
      </c>
      <c r="M259" s="3">
        <v>120</v>
      </c>
      <c r="N259" s="3" t="s">
        <v>35</v>
      </c>
      <c r="O259" s="3" t="str">
        <f t="shared" ref="O259:O322" si="4">IF(K259&gt;0,"YES","NO")</f>
        <v>YES</v>
      </c>
      <c r="P259" s="3" t="s">
        <v>281</v>
      </c>
      <c r="Q259" s="3" t="s">
        <v>61</v>
      </c>
    </row>
    <row r="260" spans="1:17" x14ac:dyDescent="0.25">
      <c r="A260" s="2">
        <v>45913</v>
      </c>
      <c r="B260" s="2" t="s">
        <v>483</v>
      </c>
      <c r="C260" s="2" t="s">
        <v>490</v>
      </c>
      <c r="D260" s="3" t="s">
        <v>32</v>
      </c>
      <c r="E260" s="3" t="s">
        <v>10</v>
      </c>
      <c r="F260" s="3" t="s">
        <v>24</v>
      </c>
      <c r="G260" s="3" t="s">
        <v>42</v>
      </c>
      <c r="H260" s="3">
        <v>1</v>
      </c>
      <c r="I260" s="4">
        <v>67.5</v>
      </c>
      <c r="J260" s="3">
        <v>150</v>
      </c>
      <c r="K260" s="3">
        <v>5</v>
      </c>
      <c r="L260" s="3">
        <v>142.5</v>
      </c>
      <c r="M260" s="3">
        <v>75</v>
      </c>
      <c r="N260" s="3" t="s">
        <v>19</v>
      </c>
      <c r="O260" s="3" t="str">
        <f t="shared" si="4"/>
        <v>YES</v>
      </c>
      <c r="P260" s="3" t="s">
        <v>282</v>
      </c>
      <c r="Q260" s="3" t="s">
        <v>37</v>
      </c>
    </row>
    <row r="261" spans="1:17" x14ac:dyDescent="0.25">
      <c r="A261" s="2">
        <v>46000</v>
      </c>
      <c r="B261" s="2" t="s">
        <v>498</v>
      </c>
      <c r="C261" s="2" t="s">
        <v>493</v>
      </c>
      <c r="D261" s="3" t="s">
        <v>22</v>
      </c>
      <c r="E261" s="3" t="s">
        <v>16</v>
      </c>
      <c r="F261" s="3" t="s">
        <v>11</v>
      </c>
      <c r="G261" s="3" t="s">
        <v>115</v>
      </c>
      <c r="H261" s="3">
        <v>5</v>
      </c>
      <c r="I261" s="4">
        <v>60</v>
      </c>
      <c r="J261" s="3">
        <v>200</v>
      </c>
      <c r="K261" s="3">
        <v>0</v>
      </c>
      <c r="L261" s="3">
        <v>1000</v>
      </c>
      <c r="M261" s="3">
        <v>700</v>
      </c>
      <c r="N261" s="3" t="s">
        <v>13</v>
      </c>
      <c r="O261" s="3" t="str">
        <f t="shared" si="4"/>
        <v>NO</v>
      </c>
      <c r="P261" s="3" t="s">
        <v>283</v>
      </c>
      <c r="Q261" s="3" t="s">
        <v>45</v>
      </c>
    </row>
    <row r="262" spans="1:17" x14ac:dyDescent="0.25">
      <c r="A262" s="2">
        <v>45883</v>
      </c>
      <c r="B262" s="2" t="s">
        <v>495</v>
      </c>
      <c r="C262" s="2" t="s">
        <v>496</v>
      </c>
      <c r="D262" s="3" t="s">
        <v>32</v>
      </c>
      <c r="E262" s="3" t="s">
        <v>16</v>
      </c>
      <c r="F262" s="3" t="s">
        <v>33</v>
      </c>
      <c r="G262" s="3" t="s">
        <v>34</v>
      </c>
      <c r="H262" s="3">
        <v>2</v>
      </c>
      <c r="I262" s="4">
        <v>67.5</v>
      </c>
      <c r="J262" s="3">
        <v>150</v>
      </c>
      <c r="K262" s="3">
        <v>5</v>
      </c>
      <c r="L262" s="3">
        <v>285</v>
      </c>
      <c r="M262" s="3">
        <v>150</v>
      </c>
      <c r="N262" s="3" t="s">
        <v>13</v>
      </c>
      <c r="O262" s="3" t="str">
        <f t="shared" si="4"/>
        <v>YES</v>
      </c>
      <c r="P262" s="3" t="s">
        <v>284</v>
      </c>
      <c r="Q262" s="3" t="s">
        <v>15</v>
      </c>
    </row>
    <row r="263" spans="1:17" x14ac:dyDescent="0.25">
      <c r="A263" s="2">
        <v>45911</v>
      </c>
      <c r="B263" s="2" t="s">
        <v>483</v>
      </c>
      <c r="C263" s="2" t="s">
        <v>496</v>
      </c>
      <c r="D263" s="3" t="s">
        <v>22</v>
      </c>
      <c r="E263" s="3" t="s">
        <v>39</v>
      </c>
      <c r="F263" s="3" t="s">
        <v>29</v>
      </c>
      <c r="G263" s="3" t="s">
        <v>54</v>
      </c>
      <c r="H263" s="3">
        <v>2</v>
      </c>
      <c r="I263" s="4">
        <v>40</v>
      </c>
      <c r="J263" s="3">
        <v>150</v>
      </c>
      <c r="K263" s="3">
        <v>20</v>
      </c>
      <c r="L263" s="3">
        <v>240</v>
      </c>
      <c r="M263" s="3">
        <v>160</v>
      </c>
      <c r="N263" s="3" t="s">
        <v>19</v>
      </c>
      <c r="O263" s="3" t="str">
        <f t="shared" si="4"/>
        <v>YES</v>
      </c>
      <c r="P263" s="3" t="s">
        <v>285</v>
      </c>
      <c r="Q263" s="3" t="s">
        <v>45</v>
      </c>
    </row>
    <row r="264" spans="1:17" x14ac:dyDescent="0.25">
      <c r="A264" s="2">
        <v>45791</v>
      </c>
      <c r="B264" s="2" t="s">
        <v>492</v>
      </c>
      <c r="C264" s="2" t="s">
        <v>487</v>
      </c>
      <c r="D264" s="3" t="s">
        <v>32</v>
      </c>
      <c r="E264" s="3" t="s">
        <v>16</v>
      </c>
      <c r="F264" s="3" t="s">
        <v>29</v>
      </c>
      <c r="G264" s="3" t="s">
        <v>47</v>
      </c>
      <c r="H264" s="3">
        <v>3</v>
      </c>
      <c r="I264" s="4">
        <v>80</v>
      </c>
      <c r="J264" s="3">
        <v>100</v>
      </c>
      <c r="K264" s="3">
        <v>0</v>
      </c>
      <c r="L264" s="3">
        <v>300</v>
      </c>
      <c r="M264" s="3">
        <v>60</v>
      </c>
      <c r="N264" s="3" t="s">
        <v>35</v>
      </c>
      <c r="O264" s="3" t="str">
        <f t="shared" si="4"/>
        <v>NO</v>
      </c>
      <c r="P264" s="3" t="s">
        <v>172</v>
      </c>
      <c r="Q264" s="3" t="s">
        <v>37</v>
      </c>
    </row>
    <row r="265" spans="1:17" x14ac:dyDescent="0.25">
      <c r="A265" s="2">
        <v>45674</v>
      </c>
      <c r="B265" s="2" t="s">
        <v>489</v>
      </c>
      <c r="C265" s="2" t="s">
        <v>484</v>
      </c>
      <c r="D265" s="3" t="s">
        <v>38</v>
      </c>
      <c r="E265" s="3" t="s">
        <v>23</v>
      </c>
      <c r="F265" s="3" t="s">
        <v>33</v>
      </c>
      <c r="G265" s="3" t="s">
        <v>63</v>
      </c>
      <c r="H265" s="3">
        <v>2</v>
      </c>
      <c r="I265" s="4">
        <v>45</v>
      </c>
      <c r="J265" s="3">
        <v>200</v>
      </c>
      <c r="K265" s="3">
        <v>10</v>
      </c>
      <c r="L265" s="3">
        <v>360</v>
      </c>
      <c r="M265" s="3">
        <v>270</v>
      </c>
      <c r="N265" s="3" t="s">
        <v>35</v>
      </c>
      <c r="O265" s="3" t="str">
        <f t="shared" si="4"/>
        <v>YES</v>
      </c>
      <c r="P265" s="3" t="s">
        <v>286</v>
      </c>
      <c r="Q265" s="3" t="s">
        <v>15</v>
      </c>
    </row>
    <row r="266" spans="1:17" x14ac:dyDescent="0.25">
      <c r="A266" s="2">
        <v>45829</v>
      </c>
      <c r="B266" s="2" t="s">
        <v>497</v>
      </c>
      <c r="C266" s="2" t="s">
        <v>490</v>
      </c>
      <c r="D266" s="3" t="s">
        <v>38</v>
      </c>
      <c r="E266" s="3" t="s">
        <v>58</v>
      </c>
      <c r="F266" s="3" t="s">
        <v>29</v>
      </c>
      <c r="G266" s="3" t="s">
        <v>83</v>
      </c>
      <c r="H266" s="3">
        <v>2</v>
      </c>
      <c r="I266" s="4">
        <v>100</v>
      </c>
      <c r="J266" s="3">
        <v>100</v>
      </c>
      <c r="K266" s="3">
        <v>10</v>
      </c>
      <c r="L266" s="3">
        <v>180</v>
      </c>
      <c r="M266" s="3">
        <v>-20</v>
      </c>
      <c r="N266" s="3" t="s">
        <v>19</v>
      </c>
      <c r="O266" s="3" t="str">
        <f t="shared" si="4"/>
        <v>YES</v>
      </c>
      <c r="P266" s="3" t="s">
        <v>287</v>
      </c>
      <c r="Q266" s="3" t="s">
        <v>45</v>
      </c>
    </row>
    <row r="267" spans="1:17" x14ac:dyDescent="0.25">
      <c r="A267" s="2">
        <v>45942</v>
      </c>
      <c r="B267" s="2" t="s">
        <v>499</v>
      </c>
      <c r="C267" s="2" t="s">
        <v>488</v>
      </c>
      <c r="D267" s="3" t="s">
        <v>9</v>
      </c>
      <c r="E267" s="3" t="s">
        <v>70</v>
      </c>
      <c r="F267" s="3" t="s">
        <v>17</v>
      </c>
      <c r="G267" s="3" t="s">
        <v>77</v>
      </c>
      <c r="H267" s="3">
        <v>3</v>
      </c>
      <c r="I267" s="4">
        <v>50</v>
      </c>
      <c r="J267" s="3">
        <v>250</v>
      </c>
      <c r="K267" s="3">
        <v>15</v>
      </c>
      <c r="L267" s="3">
        <v>637.5</v>
      </c>
      <c r="M267" s="3">
        <v>487.5</v>
      </c>
      <c r="N267" s="3" t="s">
        <v>35</v>
      </c>
      <c r="O267" s="3" t="str">
        <f t="shared" si="4"/>
        <v>YES</v>
      </c>
      <c r="P267" s="3" t="s">
        <v>288</v>
      </c>
      <c r="Q267" s="3" t="s">
        <v>41</v>
      </c>
    </row>
    <row r="268" spans="1:17" x14ac:dyDescent="0.25">
      <c r="A268" s="2">
        <v>46001</v>
      </c>
      <c r="B268" s="2" t="s">
        <v>498</v>
      </c>
      <c r="C268" s="2" t="s">
        <v>487</v>
      </c>
      <c r="D268" s="3" t="s">
        <v>38</v>
      </c>
      <c r="E268" s="3" t="s">
        <v>28</v>
      </c>
      <c r="F268" s="3" t="s">
        <v>11</v>
      </c>
      <c r="G268" s="3" t="s">
        <v>105</v>
      </c>
      <c r="H268" s="3">
        <v>2</v>
      </c>
      <c r="I268" s="4">
        <v>30</v>
      </c>
      <c r="J268" s="3">
        <v>100</v>
      </c>
      <c r="K268" s="3">
        <v>5</v>
      </c>
      <c r="L268" s="3">
        <v>190</v>
      </c>
      <c r="M268" s="3">
        <v>130</v>
      </c>
      <c r="N268" s="3" t="s">
        <v>19</v>
      </c>
      <c r="O268" s="3" t="str">
        <f t="shared" si="4"/>
        <v>YES</v>
      </c>
      <c r="P268" s="3" t="s">
        <v>289</v>
      </c>
      <c r="Q268" s="3" t="s">
        <v>45</v>
      </c>
    </row>
    <row r="269" spans="1:17" x14ac:dyDescent="0.25">
      <c r="A269" s="2">
        <v>45724</v>
      </c>
      <c r="B269" s="2" t="s">
        <v>494</v>
      </c>
      <c r="C269" s="2" t="s">
        <v>490</v>
      </c>
      <c r="D269" s="3" t="s">
        <v>27</v>
      </c>
      <c r="E269" s="3" t="s">
        <v>28</v>
      </c>
      <c r="F269" s="3" t="s">
        <v>24</v>
      </c>
      <c r="G269" s="3" t="s">
        <v>71</v>
      </c>
      <c r="H269" s="3">
        <v>5</v>
      </c>
      <c r="I269" s="4">
        <v>67.5</v>
      </c>
      <c r="J269" s="3">
        <v>150</v>
      </c>
      <c r="K269" s="3">
        <v>0</v>
      </c>
      <c r="L269" s="3">
        <v>750</v>
      </c>
      <c r="M269" s="3">
        <v>412.5</v>
      </c>
      <c r="N269" s="3" t="s">
        <v>19</v>
      </c>
      <c r="O269" s="3" t="str">
        <f t="shared" si="4"/>
        <v>NO</v>
      </c>
      <c r="P269" s="3" t="s">
        <v>147</v>
      </c>
      <c r="Q269" s="3" t="s">
        <v>61</v>
      </c>
    </row>
    <row r="270" spans="1:17" x14ac:dyDescent="0.25">
      <c r="A270" s="2">
        <v>45915</v>
      </c>
      <c r="B270" s="2" t="s">
        <v>483</v>
      </c>
      <c r="C270" s="2" t="s">
        <v>491</v>
      </c>
      <c r="D270" s="3" t="s">
        <v>22</v>
      </c>
      <c r="E270" s="3" t="s">
        <v>39</v>
      </c>
      <c r="F270" s="3" t="s">
        <v>33</v>
      </c>
      <c r="G270" s="3" t="s">
        <v>88</v>
      </c>
      <c r="H270" s="3">
        <v>1</v>
      </c>
      <c r="I270" s="4">
        <v>90</v>
      </c>
      <c r="J270" s="3">
        <v>100</v>
      </c>
      <c r="K270" s="3">
        <v>15</v>
      </c>
      <c r="L270" s="3">
        <v>85</v>
      </c>
      <c r="M270" s="3">
        <v>-5</v>
      </c>
      <c r="N270" s="3" t="s">
        <v>35</v>
      </c>
      <c r="O270" s="3" t="str">
        <f t="shared" si="4"/>
        <v>YES</v>
      </c>
      <c r="P270" s="3" t="s">
        <v>273</v>
      </c>
      <c r="Q270" s="3" t="s">
        <v>45</v>
      </c>
    </row>
    <row r="271" spans="1:17" x14ac:dyDescent="0.25">
      <c r="A271" s="2">
        <v>45811</v>
      </c>
      <c r="B271" s="2" t="s">
        <v>497</v>
      </c>
      <c r="C271" s="2" t="s">
        <v>493</v>
      </c>
      <c r="D271" s="3" t="s">
        <v>22</v>
      </c>
      <c r="E271" s="3" t="s">
        <v>58</v>
      </c>
      <c r="F271" s="3" t="s">
        <v>29</v>
      </c>
      <c r="G271" s="3" t="s">
        <v>83</v>
      </c>
      <c r="H271" s="3">
        <v>1</v>
      </c>
      <c r="I271" s="4">
        <v>60</v>
      </c>
      <c r="J271" s="3">
        <v>200</v>
      </c>
      <c r="K271" s="3">
        <v>20</v>
      </c>
      <c r="L271" s="3">
        <v>160</v>
      </c>
      <c r="M271" s="3">
        <v>100</v>
      </c>
      <c r="N271" s="3" t="s">
        <v>13</v>
      </c>
      <c r="O271" s="3" t="str">
        <f t="shared" si="4"/>
        <v>YES</v>
      </c>
      <c r="P271" s="3" t="s">
        <v>290</v>
      </c>
      <c r="Q271" s="3" t="s">
        <v>21</v>
      </c>
    </row>
    <row r="272" spans="1:17" x14ac:dyDescent="0.25">
      <c r="A272" s="2">
        <v>45847</v>
      </c>
      <c r="B272" s="2" t="s">
        <v>501</v>
      </c>
      <c r="C272" s="2" t="s">
        <v>487</v>
      </c>
      <c r="D272" s="3" t="s">
        <v>32</v>
      </c>
      <c r="E272" s="3" t="s">
        <v>16</v>
      </c>
      <c r="F272" s="3" t="s">
        <v>11</v>
      </c>
      <c r="G272" s="3" t="s">
        <v>59</v>
      </c>
      <c r="H272" s="3">
        <v>5</v>
      </c>
      <c r="I272" s="4">
        <v>45</v>
      </c>
      <c r="J272" s="3">
        <v>150</v>
      </c>
      <c r="K272" s="3">
        <v>20</v>
      </c>
      <c r="L272" s="3">
        <v>600</v>
      </c>
      <c r="M272" s="3">
        <v>375</v>
      </c>
      <c r="N272" s="3" t="s">
        <v>35</v>
      </c>
      <c r="O272" s="3" t="str">
        <f t="shared" si="4"/>
        <v>YES</v>
      </c>
      <c r="P272" s="3" t="s">
        <v>291</v>
      </c>
      <c r="Q272" s="3" t="s">
        <v>41</v>
      </c>
    </row>
    <row r="273" spans="1:17" x14ac:dyDescent="0.25">
      <c r="A273" s="2">
        <v>45828</v>
      </c>
      <c r="B273" s="2" t="s">
        <v>497</v>
      </c>
      <c r="C273" s="2" t="s">
        <v>484</v>
      </c>
      <c r="D273" s="3" t="s">
        <v>27</v>
      </c>
      <c r="E273" s="3" t="s">
        <v>23</v>
      </c>
      <c r="F273" s="3" t="s">
        <v>29</v>
      </c>
      <c r="G273" s="3" t="s">
        <v>47</v>
      </c>
      <c r="H273" s="3">
        <v>1</v>
      </c>
      <c r="I273" s="4">
        <v>20</v>
      </c>
      <c r="J273" s="3">
        <v>100</v>
      </c>
      <c r="K273" s="3">
        <v>20</v>
      </c>
      <c r="L273" s="3">
        <v>80</v>
      </c>
      <c r="M273" s="3">
        <v>60</v>
      </c>
      <c r="N273" s="3" t="s">
        <v>13</v>
      </c>
      <c r="O273" s="3" t="str">
        <f t="shared" si="4"/>
        <v>YES</v>
      </c>
      <c r="P273" s="3" t="s">
        <v>292</v>
      </c>
      <c r="Q273" s="3" t="s">
        <v>61</v>
      </c>
    </row>
    <row r="274" spans="1:17" x14ac:dyDescent="0.25">
      <c r="A274" s="2">
        <v>45928</v>
      </c>
      <c r="B274" s="2" t="s">
        <v>483</v>
      </c>
      <c r="C274" s="2" t="s">
        <v>488</v>
      </c>
      <c r="D274" s="3" t="s">
        <v>32</v>
      </c>
      <c r="E274" s="3" t="s">
        <v>70</v>
      </c>
      <c r="F274" s="3" t="s">
        <v>17</v>
      </c>
      <c r="G274" s="3" t="s">
        <v>56</v>
      </c>
      <c r="H274" s="3">
        <v>2</v>
      </c>
      <c r="I274" s="4">
        <v>10</v>
      </c>
      <c r="J274" s="3">
        <v>50</v>
      </c>
      <c r="K274" s="3">
        <v>10</v>
      </c>
      <c r="L274" s="3">
        <v>90</v>
      </c>
      <c r="M274" s="3">
        <v>70</v>
      </c>
      <c r="N274" s="3" t="s">
        <v>35</v>
      </c>
      <c r="O274" s="3" t="str">
        <f t="shared" si="4"/>
        <v>YES</v>
      </c>
      <c r="P274" s="3" t="s">
        <v>154</v>
      </c>
      <c r="Q274" s="3" t="s">
        <v>41</v>
      </c>
    </row>
    <row r="275" spans="1:17" x14ac:dyDescent="0.25">
      <c r="A275" s="2">
        <v>45731</v>
      </c>
      <c r="B275" s="2" t="s">
        <v>494</v>
      </c>
      <c r="C275" s="2" t="s">
        <v>490</v>
      </c>
      <c r="D275" s="3" t="s">
        <v>9</v>
      </c>
      <c r="E275" s="3" t="s">
        <v>39</v>
      </c>
      <c r="F275" s="3" t="s">
        <v>11</v>
      </c>
      <c r="G275" s="3" t="s">
        <v>59</v>
      </c>
      <c r="H275" s="3">
        <v>1</v>
      </c>
      <c r="I275" s="4">
        <v>30</v>
      </c>
      <c r="J275" s="3">
        <v>100</v>
      </c>
      <c r="K275" s="3">
        <v>10</v>
      </c>
      <c r="L275" s="3">
        <v>90</v>
      </c>
      <c r="M275" s="3">
        <v>60</v>
      </c>
      <c r="N275" s="3" t="s">
        <v>13</v>
      </c>
      <c r="O275" s="3" t="str">
        <f t="shared" si="4"/>
        <v>YES</v>
      </c>
      <c r="P275" s="3" t="s">
        <v>293</v>
      </c>
      <c r="Q275" s="3" t="s">
        <v>15</v>
      </c>
    </row>
    <row r="276" spans="1:17" x14ac:dyDescent="0.25">
      <c r="A276" s="2">
        <v>45743</v>
      </c>
      <c r="B276" s="2" t="s">
        <v>494</v>
      </c>
      <c r="C276" s="2" t="s">
        <v>496</v>
      </c>
      <c r="D276" s="3" t="s">
        <v>27</v>
      </c>
      <c r="E276" s="3" t="s">
        <v>10</v>
      </c>
      <c r="F276" s="3" t="s">
        <v>33</v>
      </c>
      <c r="G276" s="3" t="s">
        <v>88</v>
      </c>
      <c r="H276" s="3">
        <v>10</v>
      </c>
      <c r="I276" s="4">
        <v>22.5</v>
      </c>
      <c r="J276" s="3">
        <v>250</v>
      </c>
      <c r="K276" s="3">
        <v>0</v>
      </c>
      <c r="L276" s="3">
        <v>2500</v>
      </c>
      <c r="M276" s="3">
        <v>2275</v>
      </c>
      <c r="N276" s="3" t="s">
        <v>35</v>
      </c>
      <c r="O276" s="3" t="str">
        <f t="shared" si="4"/>
        <v>NO</v>
      </c>
      <c r="P276" s="3" t="s">
        <v>294</v>
      </c>
      <c r="Q276" s="3" t="s">
        <v>21</v>
      </c>
    </row>
    <row r="277" spans="1:17" x14ac:dyDescent="0.25">
      <c r="A277" s="2">
        <v>45771</v>
      </c>
      <c r="B277" s="2" t="s">
        <v>486</v>
      </c>
      <c r="C277" s="2" t="s">
        <v>496</v>
      </c>
      <c r="D277" s="3" t="s">
        <v>22</v>
      </c>
      <c r="E277" s="3" t="s">
        <v>39</v>
      </c>
      <c r="F277" s="3" t="s">
        <v>17</v>
      </c>
      <c r="G277" s="3" t="s">
        <v>56</v>
      </c>
      <c r="H277" s="3">
        <v>1</v>
      </c>
      <c r="I277" s="4">
        <v>10</v>
      </c>
      <c r="J277" s="3">
        <v>50</v>
      </c>
      <c r="K277" s="3">
        <v>10</v>
      </c>
      <c r="L277" s="3">
        <v>45</v>
      </c>
      <c r="M277" s="3">
        <v>35</v>
      </c>
      <c r="N277" s="3" t="s">
        <v>35</v>
      </c>
      <c r="O277" s="3" t="str">
        <f t="shared" si="4"/>
        <v>YES</v>
      </c>
      <c r="P277" s="3" t="s">
        <v>295</v>
      </c>
      <c r="Q277" s="3" t="s">
        <v>15</v>
      </c>
    </row>
    <row r="278" spans="1:17" x14ac:dyDescent="0.25">
      <c r="A278" s="2">
        <v>45693</v>
      </c>
      <c r="B278" s="2" t="s">
        <v>500</v>
      </c>
      <c r="C278" s="2" t="s">
        <v>487</v>
      </c>
      <c r="D278" s="3" t="s">
        <v>27</v>
      </c>
      <c r="E278" s="3" t="s">
        <v>16</v>
      </c>
      <c r="F278" s="3" t="s">
        <v>33</v>
      </c>
      <c r="G278" s="3" t="s">
        <v>34</v>
      </c>
      <c r="H278" s="3">
        <v>10</v>
      </c>
      <c r="I278" s="4">
        <v>90</v>
      </c>
      <c r="J278" s="3">
        <v>200</v>
      </c>
      <c r="K278" s="3">
        <v>15</v>
      </c>
      <c r="L278" s="3">
        <v>1700</v>
      </c>
      <c r="M278" s="3">
        <v>800</v>
      </c>
      <c r="N278" s="3" t="s">
        <v>19</v>
      </c>
      <c r="O278" s="3" t="str">
        <f t="shared" si="4"/>
        <v>YES</v>
      </c>
      <c r="P278" s="3" t="s">
        <v>51</v>
      </c>
      <c r="Q278" s="3" t="s">
        <v>45</v>
      </c>
    </row>
    <row r="279" spans="1:17" x14ac:dyDescent="0.25">
      <c r="A279" s="2">
        <v>45749</v>
      </c>
      <c r="B279" s="2" t="s">
        <v>486</v>
      </c>
      <c r="C279" s="2" t="s">
        <v>487</v>
      </c>
      <c r="D279" s="3" t="s">
        <v>9</v>
      </c>
      <c r="E279" s="3" t="s">
        <v>39</v>
      </c>
      <c r="F279" s="3" t="s">
        <v>11</v>
      </c>
      <c r="G279" s="3" t="s">
        <v>105</v>
      </c>
      <c r="H279" s="3">
        <v>2</v>
      </c>
      <c r="I279" s="4">
        <v>60</v>
      </c>
      <c r="J279" s="3">
        <v>200</v>
      </c>
      <c r="K279" s="3">
        <v>15</v>
      </c>
      <c r="L279" s="3">
        <v>340</v>
      </c>
      <c r="M279" s="3">
        <v>220</v>
      </c>
      <c r="N279" s="3" t="s">
        <v>13</v>
      </c>
      <c r="O279" s="3" t="str">
        <f t="shared" si="4"/>
        <v>YES</v>
      </c>
      <c r="P279" s="3" t="s">
        <v>100</v>
      </c>
      <c r="Q279" s="3" t="s">
        <v>15</v>
      </c>
    </row>
    <row r="280" spans="1:17" x14ac:dyDescent="0.25">
      <c r="A280" s="2">
        <v>45891</v>
      </c>
      <c r="B280" s="2" t="s">
        <v>495</v>
      </c>
      <c r="C280" s="2" t="s">
        <v>484</v>
      </c>
      <c r="D280" s="3" t="s">
        <v>32</v>
      </c>
      <c r="E280" s="3" t="s">
        <v>39</v>
      </c>
      <c r="F280" s="3" t="s">
        <v>17</v>
      </c>
      <c r="G280" s="3" t="s">
        <v>18</v>
      </c>
      <c r="H280" s="3">
        <v>1</v>
      </c>
      <c r="I280" s="4">
        <v>30</v>
      </c>
      <c r="J280" s="3">
        <v>150</v>
      </c>
      <c r="K280" s="3">
        <v>0</v>
      </c>
      <c r="L280" s="3">
        <v>150</v>
      </c>
      <c r="M280" s="3">
        <v>120</v>
      </c>
      <c r="N280" s="3" t="s">
        <v>35</v>
      </c>
      <c r="O280" s="3" t="str">
        <f t="shared" si="4"/>
        <v>NO</v>
      </c>
      <c r="P280" s="3" t="s">
        <v>296</v>
      </c>
      <c r="Q280" s="3" t="s">
        <v>41</v>
      </c>
    </row>
    <row r="281" spans="1:17" x14ac:dyDescent="0.25">
      <c r="A281" s="2">
        <v>45809</v>
      </c>
      <c r="B281" s="2" t="s">
        <v>497</v>
      </c>
      <c r="C281" s="2" t="s">
        <v>488</v>
      </c>
      <c r="D281" s="3" t="s">
        <v>32</v>
      </c>
      <c r="E281" s="3" t="s">
        <v>23</v>
      </c>
      <c r="F281" s="3" t="s">
        <v>33</v>
      </c>
      <c r="G281" s="3" t="s">
        <v>79</v>
      </c>
      <c r="H281" s="3">
        <v>2</v>
      </c>
      <c r="I281" s="4">
        <v>90</v>
      </c>
      <c r="J281" s="3">
        <v>250</v>
      </c>
      <c r="K281" s="3">
        <v>5</v>
      </c>
      <c r="L281" s="3">
        <v>475</v>
      </c>
      <c r="M281" s="3">
        <v>295</v>
      </c>
      <c r="N281" s="3" t="s">
        <v>19</v>
      </c>
      <c r="O281" s="3" t="str">
        <f t="shared" si="4"/>
        <v>YES</v>
      </c>
      <c r="P281" s="3" t="s">
        <v>297</v>
      </c>
      <c r="Q281" s="3" t="s">
        <v>15</v>
      </c>
    </row>
    <row r="282" spans="1:17" x14ac:dyDescent="0.25">
      <c r="A282" s="2">
        <v>45760</v>
      </c>
      <c r="B282" s="2" t="s">
        <v>486</v>
      </c>
      <c r="C282" s="2" t="s">
        <v>488</v>
      </c>
      <c r="D282" s="3" t="s">
        <v>32</v>
      </c>
      <c r="E282" s="3" t="s">
        <v>16</v>
      </c>
      <c r="F282" s="3" t="s">
        <v>29</v>
      </c>
      <c r="G282" s="3" t="s">
        <v>54</v>
      </c>
      <c r="H282" s="3">
        <v>2</v>
      </c>
      <c r="I282" s="4">
        <v>40</v>
      </c>
      <c r="J282" s="3">
        <v>200</v>
      </c>
      <c r="K282" s="3">
        <v>15</v>
      </c>
      <c r="L282" s="3">
        <v>340</v>
      </c>
      <c r="M282" s="3">
        <v>260</v>
      </c>
      <c r="N282" s="3" t="s">
        <v>35</v>
      </c>
      <c r="O282" s="3" t="str">
        <f t="shared" si="4"/>
        <v>YES</v>
      </c>
      <c r="P282" s="3" t="s">
        <v>298</v>
      </c>
      <c r="Q282" s="3" t="s">
        <v>41</v>
      </c>
    </row>
    <row r="283" spans="1:17" x14ac:dyDescent="0.25">
      <c r="A283" s="2">
        <v>45861</v>
      </c>
      <c r="B283" s="2" t="s">
        <v>501</v>
      </c>
      <c r="C283" s="2" t="s">
        <v>487</v>
      </c>
      <c r="D283" s="3" t="s">
        <v>27</v>
      </c>
      <c r="E283" s="3" t="s">
        <v>70</v>
      </c>
      <c r="F283" s="3" t="s">
        <v>33</v>
      </c>
      <c r="G283" s="3" t="s">
        <v>34</v>
      </c>
      <c r="H283" s="3">
        <v>1</v>
      </c>
      <c r="I283" s="4">
        <v>90</v>
      </c>
      <c r="J283" s="3">
        <v>100</v>
      </c>
      <c r="K283" s="3">
        <v>5</v>
      </c>
      <c r="L283" s="3">
        <v>95</v>
      </c>
      <c r="M283" s="3">
        <v>5</v>
      </c>
      <c r="N283" s="3" t="s">
        <v>19</v>
      </c>
      <c r="O283" s="3" t="str">
        <f t="shared" si="4"/>
        <v>YES</v>
      </c>
      <c r="P283" s="3" t="s">
        <v>299</v>
      </c>
      <c r="Q283" s="3" t="s">
        <v>15</v>
      </c>
    </row>
    <row r="284" spans="1:17" x14ac:dyDescent="0.25">
      <c r="A284" s="2">
        <v>45738</v>
      </c>
      <c r="B284" s="2" t="s">
        <v>494</v>
      </c>
      <c r="C284" s="2" t="s">
        <v>490</v>
      </c>
      <c r="D284" s="3" t="s">
        <v>9</v>
      </c>
      <c r="E284" s="3" t="s">
        <v>28</v>
      </c>
      <c r="F284" s="3" t="s">
        <v>29</v>
      </c>
      <c r="G284" s="3" t="s">
        <v>83</v>
      </c>
      <c r="H284" s="3">
        <v>2</v>
      </c>
      <c r="I284" s="4">
        <v>100</v>
      </c>
      <c r="J284" s="3">
        <v>200</v>
      </c>
      <c r="K284" s="3">
        <v>15</v>
      </c>
      <c r="L284" s="3">
        <v>340</v>
      </c>
      <c r="M284" s="3">
        <v>140</v>
      </c>
      <c r="N284" s="3" t="s">
        <v>35</v>
      </c>
      <c r="O284" s="3" t="str">
        <f t="shared" si="4"/>
        <v>YES</v>
      </c>
      <c r="P284" s="3" t="s">
        <v>300</v>
      </c>
      <c r="Q284" s="3" t="s">
        <v>21</v>
      </c>
    </row>
    <row r="285" spans="1:17" x14ac:dyDescent="0.25">
      <c r="A285" s="2">
        <v>45895</v>
      </c>
      <c r="B285" s="2" t="s">
        <v>495</v>
      </c>
      <c r="C285" s="2" t="s">
        <v>493</v>
      </c>
      <c r="D285" s="3" t="s">
        <v>27</v>
      </c>
      <c r="E285" s="3" t="s">
        <v>58</v>
      </c>
      <c r="F285" s="3" t="s">
        <v>29</v>
      </c>
      <c r="G285" s="3" t="s">
        <v>83</v>
      </c>
      <c r="H285" s="3">
        <v>1</v>
      </c>
      <c r="I285" s="4">
        <v>80</v>
      </c>
      <c r="J285" s="3">
        <v>250</v>
      </c>
      <c r="K285" s="3">
        <v>0</v>
      </c>
      <c r="L285" s="3">
        <v>250</v>
      </c>
      <c r="M285" s="3">
        <v>170</v>
      </c>
      <c r="N285" s="3" t="s">
        <v>13</v>
      </c>
      <c r="O285" s="3" t="str">
        <f t="shared" si="4"/>
        <v>NO</v>
      </c>
      <c r="P285" s="3" t="s">
        <v>84</v>
      </c>
      <c r="Q285" s="3" t="s">
        <v>45</v>
      </c>
    </row>
    <row r="286" spans="1:17" x14ac:dyDescent="0.25">
      <c r="A286" s="2">
        <v>45891</v>
      </c>
      <c r="B286" s="2" t="s">
        <v>495</v>
      </c>
      <c r="C286" s="2" t="s">
        <v>484</v>
      </c>
      <c r="D286" s="3" t="s">
        <v>27</v>
      </c>
      <c r="E286" s="3" t="s">
        <v>28</v>
      </c>
      <c r="F286" s="3" t="s">
        <v>17</v>
      </c>
      <c r="G286" s="3" t="s">
        <v>107</v>
      </c>
      <c r="H286" s="3">
        <v>5</v>
      </c>
      <c r="I286" s="4">
        <v>40</v>
      </c>
      <c r="J286" s="3">
        <v>200</v>
      </c>
      <c r="K286" s="3">
        <v>0</v>
      </c>
      <c r="L286" s="3">
        <v>1000</v>
      </c>
      <c r="M286" s="3">
        <v>800</v>
      </c>
      <c r="N286" s="3" t="s">
        <v>19</v>
      </c>
      <c r="O286" s="3" t="str">
        <f t="shared" si="4"/>
        <v>NO</v>
      </c>
      <c r="P286" s="3" t="s">
        <v>301</v>
      </c>
      <c r="Q286" s="3" t="s">
        <v>15</v>
      </c>
    </row>
    <row r="287" spans="1:17" x14ac:dyDescent="0.25">
      <c r="A287" s="2">
        <v>45769</v>
      </c>
      <c r="B287" s="2" t="s">
        <v>486</v>
      </c>
      <c r="C287" s="2" t="s">
        <v>493</v>
      </c>
      <c r="D287" s="3" t="s">
        <v>27</v>
      </c>
      <c r="E287" s="3" t="s">
        <v>58</v>
      </c>
      <c r="F287" s="3" t="s">
        <v>33</v>
      </c>
      <c r="G287" s="3" t="s">
        <v>50</v>
      </c>
      <c r="H287" s="3">
        <v>2</v>
      </c>
      <c r="I287" s="4">
        <v>112.5</v>
      </c>
      <c r="J287" s="3">
        <v>100</v>
      </c>
      <c r="K287" s="3">
        <v>0</v>
      </c>
      <c r="L287" s="3">
        <v>200</v>
      </c>
      <c r="M287" s="3">
        <v>-25</v>
      </c>
      <c r="N287" s="3" t="s">
        <v>13</v>
      </c>
      <c r="O287" s="3" t="str">
        <f t="shared" si="4"/>
        <v>NO</v>
      </c>
      <c r="P287" s="3" t="s">
        <v>302</v>
      </c>
      <c r="Q287" s="3" t="s">
        <v>41</v>
      </c>
    </row>
    <row r="288" spans="1:17" x14ac:dyDescent="0.25">
      <c r="A288" s="2">
        <v>45923</v>
      </c>
      <c r="B288" s="2" t="s">
        <v>483</v>
      </c>
      <c r="C288" s="2" t="s">
        <v>493</v>
      </c>
      <c r="D288" s="3" t="s">
        <v>32</v>
      </c>
      <c r="E288" s="3" t="s">
        <v>28</v>
      </c>
      <c r="F288" s="3" t="s">
        <v>24</v>
      </c>
      <c r="G288" s="3" t="s">
        <v>71</v>
      </c>
      <c r="H288" s="3">
        <v>3</v>
      </c>
      <c r="I288" s="4">
        <v>112.5</v>
      </c>
      <c r="J288" s="3">
        <v>250</v>
      </c>
      <c r="K288" s="3">
        <v>0</v>
      </c>
      <c r="L288" s="3">
        <v>750</v>
      </c>
      <c r="M288" s="3">
        <v>412.5</v>
      </c>
      <c r="N288" s="3" t="s">
        <v>19</v>
      </c>
      <c r="O288" s="3" t="str">
        <f t="shared" si="4"/>
        <v>NO</v>
      </c>
      <c r="P288" s="3" t="s">
        <v>262</v>
      </c>
      <c r="Q288" s="3" t="s">
        <v>15</v>
      </c>
    </row>
    <row r="289" spans="1:17" x14ac:dyDescent="0.25">
      <c r="A289" s="2">
        <v>45919</v>
      </c>
      <c r="B289" s="2" t="s">
        <v>483</v>
      </c>
      <c r="C289" s="2" t="s">
        <v>484</v>
      </c>
      <c r="D289" s="3" t="s">
        <v>22</v>
      </c>
      <c r="E289" s="3" t="s">
        <v>28</v>
      </c>
      <c r="F289" s="3" t="s">
        <v>24</v>
      </c>
      <c r="G289" s="3" t="s">
        <v>25</v>
      </c>
      <c r="H289" s="3">
        <v>1</v>
      </c>
      <c r="I289" s="4">
        <v>90</v>
      </c>
      <c r="J289" s="3">
        <v>200</v>
      </c>
      <c r="K289" s="3">
        <v>15</v>
      </c>
      <c r="L289" s="3">
        <v>170</v>
      </c>
      <c r="M289" s="3">
        <v>80</v>
      </c>
      <c r="N289" s="3" t="s">
        <v>13</v>
      </c>
      <c r="O289" s="3" t="str">
        <f t="shared" si="4"/>
        <v>YES</v>
      </c>
      <c r="P289" s="3" t="s">
        <v>303</v>
      </c>
      <c r="Q289" s="3" t="s">
        <v>21</v>
      </c>
    </row>
    <row r="290" spans="1:17" x14ac:dyDescent="0.25">
      <c r="A290" s="2">
        <v>45673</v>
      </c>
      <c r="B290" s="2" t="s">
        <v>489</v>
      </c>
      <c r="C290" s="2" t="s">
        <v>496</v>
      </c>
      <c r="D290" s="3" t="s">
        <v>38</v>
      </c>
      <c r="E290" s="3" t="s">
        <v>10</v>
      </c>
      <c r="F290" s="3" t="s">
        <v>17</v>
      </c>
      <c r="G290" s="3" t="s">
        <v>68</v>
      </c>
      <c r="H290" s="3">
        <v>3</v>
      </c>
      <c r="I290" s="4">
        <v>10</v>
      </c>
      <c r="J290" s="3">
        <v>50</v>
      </c>
      <c r="K290" s="3">
        <v>0</v>
      </c>
      <c r="L290" s="3">
        <v>150</v>
      </c>
      <c r="M290" s="3">
        <v>120</v>
      </c>
      <c r="N290" s="3" t="s">
        <v>13</v>
      </c>
      <c r="O290" s="3" t="str">
        <f t="shared" si="4"/>
        <v>NO</v>
      </c>
      <c r="P290" s="3" t="s">
        <v>304</v>
      </c>
      <c r="Q290" s="3" t="s">
        <v>61</v>
      </c>
    </row>
    <row r="291" spans="1:17" x14ac:dyDescent="0.25">
      <c r="A291" s="2">
        <v>45685</v>
      </c>
      <c r="B291" s="2" t="s">
        <v>489</v>
      </c>
      <c r="C291" s="2" t="s">
        <v>493</v>
      </c>
      <c r="D291" s="3" t="s">
        <v>9</v>
      </c>
      <c r="E291" s="3" t="s">
        <v>23</v>
      </c>
      <c r="F291" s="3" t="s">
        <v>33</v>
      </c>
      <c r="G291" s="3" t="s">
        <v>34</v>
      </c>
      <c r="H291" s="3">
        <v>1</v>
      </c>
      <c r="I291" s="4">
        <v>45</v>
      </c>
      <c r="J291" s="3">
        <v>150</v>
      </c>
      <c r="K291" s="3">
        <v>20</v>
      </c>
      <c r="L291" s="3">
        <v>120</v>
      </c>
      <c r="M291" s="3">
        <v>75</v>
      </c>
      <c r="N291" s="3" t="s">
        <v>13</v>
      </c>
      <c r="O291" s="3" t="str">
        <f t="shared" si="4"/>
        <v>YES</v>
      </c>
      <c r="P291" s="3" t="s">
        <v>221</v>
      </c>
      <c r="Q291" s="3" t="s">
        <v>61</v>
      </c>
    </row>
    <row r="292" spans="1:17" x14ac:dyDescent="0.25">
      <c r="A292" s="2">
        <v>45945</v>
      </c>
      <c r="B292" s="2" t="s">
        <v>499</v>
      </c>
      <c r="C292" s="2" t="s">
        <v>487</v>
      </c>
      <c r="D292" s="3" t="s">
        <v>9</v>
      </c>
      <c r="E292" s="3" t="s">
        <v>10</v>
      </c>
      <c r="F292" s="3" t="s">
        <v>11</v>
      </c>
      <c r="G292" s="3" t="s">
        <v>131</v>
      </c>
      <c r="H292" s="3">
        <v>3</v>
      </c>
      <c r="I292" s="4">
        <v>30</v>
      </c>
      <c r="J292" s="3">
        <v>100</v>
      </c>
      <c r="K292" s="3">
        <v>15</v>
      </c>
      <c r="L292" s="3">
        <v>255</v>
      </c>
      <c r="M292" s="3">
        <v>165</v>
      </c>
      <c r="N292" s="3" t="s">
        <v>19</v>
      </c>
      <c r="O292" s="3" t="str">
        <f t="shared" si="4"/>
        <v>YES</v>
      </c>
      <c r="P292" s="3" t="s">
        <v>143</v>
      </c>
      <c r="Q292" s="3" t="s">
        <v>15</v>
      </c>
    </row>
    <row r="293" spans="1:17" x14ac:dyDescent="0.25">
      <c r="A293" s="2">
        <v>45852</v>
      </c>
      <c r="B293" s="2" t="s">
        <v>501</v>
      </c>
      <c r="C293" s="2" t="s">
        <v>491</v>
      </c>
      <c r="D293" s="3" t="s">
        <v>22</v>
      </c>
      <c r="E293" s="3" t="s">
        <v>23</v>
      </c>
      <c r="F293" s="3" t="s">
        <v>29</v>
      </c>
      <c r="G293" s="3" t="s">
        <v>83</v>
      </c>
      <c r="H293" s="3">
        <v>2</v>
      </c>
      <c r="I293" s="4">
        <v>60</v>
      </c>
      <c r="J293" s="3">
        <v>100</v>
      </c>
      <c r="K293" s="3">
        <v>20</v>
      </c>
      <c r="L293" s="3">
        <v>160</v>
      </c>
      <c r="M293" s="3">
        <v>40</v>
      </c>
      <c r="N293" s="3" t="s">
        <v>35</v>
      </c>
      <c r="O293" s="3" t="str">
        <f t="shared" si="4"/>
        <v>YES</v>
      </c>
      <c r="P293" s="3" t="s">
        <v>305</v>
      </c>
      <c r="Q293" s="3" t="s">
        <v>45</v>
      </c>
    </row>
    <row r="294" spans="1:17" x14ac:dyDescent="0.25">
      <c r="A294" s="2">
        <v>45677</v>
      </c>
      <c r="B294" s="2" t="s">
        <v>489</v>
      </c>
      <c r="C294" s="2" t="s">
        <v>491</v>
      </c>
      <c r="D294" s="3" t="s">
        <v>22</v>
      </c>
      <c r="E294" s="3" t="s">
        <v>23</v>
      </c>
      <c r="F294" s="3" t="s">
        <v>17</v>
      </c>
      <c r="G294" s="3" t="s">
        <v>77</v>
      </c>
      <c r="H294" s="3">
        <v>10</v>
      </c>
      <c r="I294" s="4">
        <v>30</v>
      </c>
      <c r="J294" s="3">
        <v>150</v>
      </c>
      <c r="K294" s="3">
        <v>0</v>
      </c>
      <c r="L294" s="3">
        <v>1500</v>
      </c>
      <c r="M294" s="3">
        <v>1200</v>
      </c>
      <c r="N294" s="3" t="s">
        <v>35</v>
      </c>
      <c r="O294" s="3" t="str">
        <f t="shared" si="4"/>
        <v>NO</v>
      </c>
      <c r="P294" s="3" t="s">
        <v>306</v>
      </c>
      <c r="Q294" s="3" t="s">
        <v>61</v>
      </c>
    </row>
    <row r="295" spans="1:17" x14ac:dyDescent="0.25">
      <c r="A295" s="2">
        <v>45774</v>
      </c>
      <c r="B295" s="2" t="s">
        <v>486</v>
      </c>
      <c r="C295" s="2" t="s">
        <v>488</v>
      </c>
      <c r="D295" s="3" t="s">
        <v>22</v>
      </c>
      <c r="E295" s="3" t="s">
        <v>70</v>
      </c>
      <c r="F295" s="3" t="s">
        <v>17</v>
      </c>
      <c r="G295" s="3" t="s">
        <v>77</v>
      </c>
      <c r="H295" s="3">
        <v>2</v>
      </c>
      <c r="I295" s="4">
        <v>20</v>
      </c>
      <c r="J295" s="3">
        <v>100</v>
      </c>
      <c r="K295" s="3">
        <v>0</v>
      </c>
      <c r="L295" s="3">
        <v>200</v>
      </c>
      <c r="M295" s="3">
        <v>160</v>
      </c>
      <c r="N295" s="3" t="s">
        <v>19</v>
      </c>
      <c r="O295" s="3" t="str">
        <f t="shared" si="4"/>
        <v>NO</v>
      </c>
      <c r="P295" s="3" t="s">
        <v>85</v>
      </c>
      <c r="Q295" s="3" t="s">
        <v>15</v>
      </c>
    </row>
    <row r="296" spans="1:17" x14ac:dyDescent="0.25">
      <c r="A296" s="2">
        <v>46000</v>
      </c>
      <c r="B296" s="2" t="s">
        <v>498</v>
      </c>
      <c r="C296" s="2" t="s">
        <v>493</v>
      </c>
      <c r="D296" s="3" t="s">
        <v>32</v>
      </c>
      <c r="E296" s="3" t="s">
        <v>58</v>
      </c>
      <c r="F296" s="3" t="s">
        <v>29</v>
      </c>
      <c r="G296" s="3" t="s">
        <v>83</v>
      </c>
      <c r="H296" s="3">
        <v>1</v>
      </c>
      <c r="I296" s="4">
        <v>40</v>
      </c>
      <c r="J296" s="3">
        <v>150</v>
      </c>
      <c r="K296" s="3">
        <v>0</v>
      </c>
      <c r="L296" s="3">
        <v>150</v>
      </c>
      <c r="M296" s="3">
        <v>110</v>
      </c>
      <c r="N296" s="3" t="s">
        <v>35</v>
      </c>
      <c r="O296" s="3" t="str">
        <f t="shared" si="4"/>
        <v>NO</v>
      </c>
      <c r="P296" s="3" t="s">
        <v>298</v>
      </c>
      <c r="Q296" s="3" t="s">
        <v>21</v>
      </c>
    </row>
    <row r="297" spans="1:17" x14ac:dyDescent="0.25">
      <c r="A297" s="2">
        <v>45713</v>
      </c>
      <c r="B297" s="2" t="s">
        <v>500</v>
      </c>
      <c r="C297" s="2" t="s">
        <v>493</v>
      </c>
      <c r="D297" s="3" t="s">
        <v>32</v>
      </c>
      <c r="E297" s="3" t="s">
        <v>58</v>
      </c>
      <c r="F297" s="3" t="s">
        <v>11</v>
      </c>
      <c r="G297" s="3" t="s">
        <v>115</v>
      </c>
      <c r="H297" s="3">
        <v>2</v>
      </c>
      <c r="I297" s="4">
        <v>30</v>
      </c>
      <c r="J297" s="3">
        <v>100</v>
      </c>
      <c r="K297" s="3">
        <v>10</v>
      </c>
      <c r="L297" s="3">
        <v>180</v>
      </c>
      <c r="M297" s="3">
        <v>120</v>
      </c>
      <c r="N297" s="3" t="s">
        <v>35</v>
      </c>
      <c r="O297" s="3" t="str">
        <f t="shared" si="4"/>
        <v>YES</v>
      </c>
      <c r="P297" s="3" t="s">
        <v>155</v>
      </c>
      <c r="Q297" s="3" t="s">
        <v>61</v>
      </c>
    </row>
    <row r="298" spans="1:17" x14ac:dyDescent="0.25">
      <c r="A298" s="2">
        <v>45704</v>
      </c>
      <c r="B298" s="2" t="s">
        <v>500</v>
      </c>
      <c r="C298" s="2" t="s">
        <v>488</v>
      </c>
      <c r="D298" s="3" t="s">
        <v>32</v>
      </c>
      <c r="E298" s="3" t="s">
        <v>58</v>
      </c>
      <c r="F298" s="3" t="s">
        <v>11</v>
      </c>
      <c r="G298" s="3" t="s">
        <v>115</v>
      </c>
      <c r="H298" s="3">
        <v>10</v>
      </c>
      <c r="I298" s="4">
        <v>75</v>
      </c>
      <c r="J298" s="3">
        <v>250</v>
      </c>
      <c r="K298" s="3">
        <v>20</v>
      </c>
      <c r="L298" s="3">
        <v>2000</v>
      </c>
      <c r="M298" s="3">
        <v>1250</v>
      </c>
      <c r="N298" s="3" t="s">
        <v>35</v>
      </c>
      <c r="O298" s="3" t="str">
        <f t="shared" si="4"/>
        <v>YES</v>
      </c>
      <c r="P298" s="3" t="s">
        <v>307</v>
      </c>
      <c r="Q298" s="3" t="s">
        <v>15</v>
      </c>
    </row>
    <row r="299" spans="1:17" x14ac:dyDescent="0.25">
      <c r="A299" s="2">
        <v>45757</v>
      </c>
      <c r="B299" s="2" t="s">
        <v>486</v>
      </c>
      <c r="C299" s="2" t="s">
        <v>496</v>
      </c>
      <c r="D299" s="3" t="s">
        <v>9</v>
      </c>
      <c r="E299" s="3" t="s">
        <v>58</v>
      </c>
      <c r="F299" s="3" t="s">
        <v>24</v>
      </c>
      <c r="G299" s="3" t="s">
        <v>71</v>
      </c>
      <c r="H299" s="3">
        <v>1</v>
      </c>
      <c r="I299" s="4">
        <v>90</v>
      </c>
      <c r="J299" s="3">
        <v>200</v>
      </c>
      <c r="K299" s="3">
        <v>10</v>
      </c>
      <c r="L299" s="3">
        <v>180</v>
      </c>
      <c r="M299" s="3">
        <v>90</v>
      </c>
      <c r="N299" s="3" t="s">
        <v>13</v>
      </c>
      <c r="O299" s="3" t="str">
        <f t="shared" si="4"/>
        <v>YES</v>
      </c>
      <c r="P299" s="3" t="s">
        <v>308</v>
      </c>
      <c r="Q299" s="3" t="s">
        <v>37</v>
      </c>
    </row>
    <row r="300" spans="1:17" x14ac:dyDescent="0.25">
      <c r="A300" s="2">
        <v>45938</v>
      </c>
      <c r="B300" s="2" t="s">
        <v>499</v>
      </c>
      <c r="C300" s="2" t="s">
        <v>487</v>
      </c>
      <c r="D300" s="3" t="s">
        <v>9</v>
      </c>
      <c r="E300" s="3" t="s">
        <v>58</v>
      </c>
      <c r="F300" s="3" t="s">
        <v>33</v>
      </c>
      <c r="G300" s="3" t="s">
        <v>88</v>
      </c>
      <c r="H300" s="3">
        <v>5</v>
      </c>
      <c r="I300" s="4">
        <v>45</v>
      </c>
      <c r="J300" s="3">
        <v>150</v>
      </c>
      <c r="K300" s="3">
        <v>5</v>
      </c>
      <c r="L300" s="3">
        <v>712.5</v>
      </c>
      <c r="M300" s="3">
        <v>487.5</v>
      </c>
      <c r="N300" s="3" t="s">
        <v>13</v>
      </c>
      <c r="O300" s="3" t="str">
        <f t="shared" si="4"/>
        <v>YES</v>
      </c>
      <c r="P300" s="3" t="s">
        <v>219</v>
      </c>
      <c r="Q300" s="3" t="s">
        <v>15</v>
      </c>
    </row>
    <row r="301" spans="1:17" x14ac:dyDescent="0.25">
      <c r="A301" s="2">
        <v>45740</v>
      </c>
      <c r="B301" s="2" t="s">
        <v>494</v>
      </c>
      <c r="C301" s="2" t="s">
        <v>491</v>
      </c>
      <c r="D301" s="3" t="s">
        <v>22</v>
      </c>
      <c r="E301" s="3" t="s">
        <v>70</v>
      </c>
      <c r="F301" s="3" t="s">
        <v>11</v>
      </c>
      <c r="G301" s="3" t="s">
        <v>12</v>
      </c>
      <c r="H301" s="3">
        <v>1</v>
      </c>
      <c r="I301" s="4">
        <v>30</v>
      </c>
      <c r="J301" s="3">
        <v>100</v>
      </c>
      <c r="K301" s="3">
        <v>5</v>
      </c>
      <c r="L301" s="3">
        <v>95</v>
      </c>
      <c r="M301" s="3">
        <v>65</v>
      </c>
      <c r="N301" s="3" t="s">
        <v>13</v>
      </c>
      <c r="O301" s="3" t="str">
        <f t="shared" si="4"/>
        <v>YES</v>
      </c>
      <c r="P301" s="3" t="s">
        <v>255</v>
      </c>
      <c r="Q301" s="3" t="s">
        <v>37</v>
      </c>
    </row>
    <row r="302" spans="1:17" x14ac:dyDescent="0.25">
      <c r="A302" s="2">
        <v>45693</v>
      </c>
      <c r="B302" s="2" t="s">
        <v>500</v>
      </c>
      <c r="C302" s="2" t="s">
        <v>487</v>
      </c>
      <c r="D302" s="3" t="s">
        <v>9</v>
      </c>
      <c r="E302" s="3" t="s">
        <v>58</v>
      </c>
      <c r="F302" s="3" t="s">
        <v>11</v>
      </c>
      <c r="G302" s="3" t="s">
        <v>115</v>
      </c>
      <c r="H302" s="3">
        <v>5</v>
      </c>
      <c r="I302" s="4">
        <v>45</v>
      </c>
      <c r="J302" s="3">
        <v>150</v>
      </c>
      <c r="K302" s="3">
        <v>0</v>
      </c>
      <c r="L302" s="3">
        <v>750</v>
      </c>
      <c r="M302" s="3">
        <v>525</v>
      </c>
      <c r="N302" s="3" t="s">
        <v>19</v>
      </c>
      <c r="O302" s="3" t="str">
        <f t="shared" si="4"/>
        <v>NO</v>
      </c>
      <c r="P302" s="3" t="s">
        <v>192</v>
      </c>
      <c r="Q302" s="3" t="s">
        <v>61</v>
      </c>
    </row>
    <row r="303" spans="1:17" x14ac:dyDescent="0.25">
      <c r="A303" s="2">
        <v>45849</v>
      </c>
      <c r="B303" s="2" t="s">
        <v>501</v>
      </c>
      <c r="C303" s="2" t="s">
        <v>484</v>
      </c>
      <c r="D303" s="3" t="s">
        <v>9</v>
      </c>
      <c r="E303" s="3" t="s">
        <v>70</v>
      </c>
      <c r="F303" s="3" t="s">
        <v>24</v>
      </c>
      <c r="G303" s="3" t="s">
        <v>42</v>
      </c>
      <c r="H303" s="3">
        <v>10</v>
      </c>
      <c r="I303" s="4">
        <v>90</v>
      </c>
      <c r="J303" s="3">
        <v>200</v>
      </c>
      <c r="K303" s="3">
        <v>5</v>
      </c>
      <c r="L303" s="3">
        <v>1900</v>
      </c>
      <c r="M303" s="3">
        <v>1000</v>
      </c>
      <c r="N303" s="3" t="s">
        <v>35</v>
      </c>
      <c r="O303" s="3" t="str">
        <f t="shared" si="4"/>
        <v>YES</v>
      </c>
      <c r="P303" s="3" t="s">
        <v>247</v>
      </c>
      <c r="Q303" s="3" t="s">
        <v>41</v>
      </c>
    </row>
    <row r="304" spans="1:17" x14ac:dyDescent="0.25">
      <c r="A304" s="2">
        <v>45826</v>
      </c>
      <c r="B304" s="2" t="s">
        <v>497</v>
      </c>
      <c r="C304" s="2" t="s">
        <v>487</v>
      </c>
      <c r="D304" s="3" t="s">
        <v>27</v>
      </c>
      <c r="E304" s="3" t="s">
        <v>16</v>
      </c>
      <c r="F304" s="3" t="s">
        <v>33</v>
      </c>
      <c r="G304" s="3" t="s">
        <v>50</v>
      </c>
      <c r="H304" s="3">
        <v>10</v>
      </c>
      <c r="I304" s="4">
        <v>22.5</v>
      </c>
      <c r="J304" s="3">
        <v>200</v>
      </c>
      <c r="K304" s="3">
        <v>15</v>
      </c>
      <c r="L304" s="3">
        <v>1700</v>
      </c>
      <c r="M304" s="3">
        <v>1475</v>
      </c>
      <c r="N304" s="3" t="s">
        <v>35</v>
      </c>
      <c r="O304" s="3" t="str">
        <f t="shared" si="4"/>
        <v>YES</v>
      </c>
      <c r="P304" s="3" t="s">
        <v>164</v>
      </c>
      <c r="Q304" s="3" t="s">
        <v>15</v>
      </c>
    </row>
    <row r="305" spans="1:17" x14ac:dyDescent="0.25">
      <c r="A305" s="2">
        <v>45920</v>
      </c>
      <c r="B305" s="2" t="s">
        <v>483</v>
      </c>
      <c r="C305" s="2" t="s">
        <v>490</v>
      </c>
      <c r="D305" s="3" t="s">
        <v>38</v>
      </c>
      <c r="E305" s="3" t="s">
        <v>28</v>
      </c>
      <c r="F305" s="3" t="s">
        <v>11</v>
      </c>
      <c r="G305" s="3" t="s">
        <v>59</v>
      </c>
      <c r="H305" s="3">
        <v>10</v>
      </c>
      <c r="I305" s="4">
        <v>15</v>
      </c>
      <c r="J305" s="3">
        <v>50</v>
      </c>
      <c r="K305" s="3">
        <v>15</v>
      </c>
      <c r="L305" s="3">
        <v>425</v>
      </c>
      <c r="M305" s="3">
        <v>275</v>
      </c>
      <c r="N305" s="3" t="s">
        <v>19</v>
      </c>
      <c r="O305" s="3" t="str">
        <f t="shared" si="4"/>
        <v>YES</v>
      </c>
      <c r="P305" s="3" t="s">
        <v>291</v>
      </c>
      <c r="Q305" s="3" t="s">
        <v>15</v>
      </c>
    </row>
    <row r="306" spans="1:17" x14ac:dyDescent="0.25">
      <c r="A306" s="2">
        <v>46002</v>
      </c>
      <c r="B306" s="2" t="s">
        <v>498</v>
      </c>
      <c r="C306" s="2" t="s">
        <v>496</v>
      </c>
      <c r="D306" s="3" t="s">
        <v>27</v>
      </c>
      <c r="E306" s="3" t="s">
        <v>28</v>
      </c>
      <c r="F306" s="3" t="s">
        <v>29</v>
      </c>
      <c r="G306" s="3" t="s">
        <v>47</v>
      </c>
      <c r="H306" s="3">
        <v>2</v>
      </c>
      <c r="I306" s="4">
        <v>40</v>
      </c>
      <c r="J306" s="3">
        <v>250</v>
      </c>
      <c r="K306" s="3">
        <v>20</v>
      </c>
      <c r="L306" s="3">
        <v>400</v>
      </c>
      <c r="M306" s="3">
        <v>320</v>
      </c>
      <c r="N306" s="3" t="s">
        <v>13</v>
      </c>
      <c r="O306" s="3" t="str">
        <f t="shared" si="4"/>
        <v>YES</v>
      </c>
      <c r="P306" s="3" t="s">
        <v>309</v>
      </c>
      <c r="Q306" s="3" t="s">
        <v>61</v>
      </c>
    </row>
    <row r="307" spans="1:17" x14ac:dyDescent="0.25">
      <c r="A307" s="2">
        <v>46002</v>
      </c>
      <c r="B307" s="2" t="s">
        <v>498</v>
      </c>
      <c r="C307" s="2" t="s">
        <v>496</v>
      </c>
      <c r="D307" s="3" t="s">
        <v>32</v>
      </c>
      <c r="E307" s="3" t="s">
        <v>39</v>
      </c>
      <c r="F307" s="3" t="s">
        <v>24</v>
      </c>
      <c r="G307" s="3" t="s">
        <v>81</v>
      </c>
      <c r="H307" s="3">
        <v>1</v>
      </c>
      <c r="I307" s="4">
        <v>45</v>
      </c>
      <c r="J307" s="3">
        <v>100</v>
      </c>
      <c r="K307" s="3">
        <v>0</v>
      </c>
      <c r="L307" s="3">
        <v>100</v>
      </c>
      <c r="M307" s="3">
        <v>55</v>
      </c>
      <c r="N307" s="3" t="s">
        <v>35</v>
      </c>
      <c r="O307" s="3" t="str">
        <f t="shared" si="4"/>
        <v>NO</v>
      </c>
      <c r="P307" s="3" t="s">
        <v>310</v>
      </c>
      <c r="Q307" s="3" t="s">
        <v>37</v>
      </c>
    </row>
    <row r="308" spans="1:17" x14ac:dyDescent="0.25">
      <c r="A308" s="2">
        <v>45916</v>
      </c>
      <c r="B308" s="2" t="s">
        <v>483</v>
      </c>
      <c r="C308" s="2" t="s">
        <v>493</v>
      </c>
      <c r="D308" s="3" t="s">
        <v>32</v>
      </c>
      <c r="E308" s="3" t="s">
        <v>10</v>
      </c>
      <c r="F308" s="3" t="s">
        <v>29</v>
      </c>
      <c r="G308" s="3" t="s">
        <v>30</v>
      </c>
      <c r="H308" s="3">
        <v>10</v>
      </c>
      <c r="I308" s="4">
        <v>40</v>
      </c>
      <c r="J308" s="3">
        <v>150</v>
      </c>
      <c r="K308" s="3">
        <v>0</v>
      </c>
      <c r="L308" s="3">
        <v>1500</v>
      </c>
      <c r="M308" s="3">
        <v>1100</v>
      </c>
      <c r="N308" s="3" t="s">
        <v>13</v>
      </c>
      <c r="O308" s="3" t="str">
        <f t="shared" si="4"/>
        <v>NO</v>
      </c>
      <c r="P308" s="3" t="s">
        <v>137</v>
      </c>
      <c r="Q308" s="3" t="s">
        <v>45</v>
      </c>
    </row>
    <row r="309" spans="1:17" x14ac:dyDescent="0.25">
      <c r="A309" s="2">
        <v>45673</v>
      </c>
      <c r="B309" s="2" t="s">
        <v>489</v>
      </c>
      <c r="C309" s="2" t="s">
        <v>496</v>
      </c>
      <c r="D309" s="3" t="s">
        <v>22</v>
      </c>
      <c r="E309" s="3" t="s">
        <v>58</v>
      </c>
      <c r="F309" s="3" t="s">
        <v>29</v>
      </c>
      <c r="G309" s="3" t="s">
        <v>54</v>
      </c>
      <c r="H309" s="3">
        <v>2</v>
      </c>
      <c r="I309" s="4">
        <v>40</v>
      </c>
      <c r="J309" s="3">
        <v>100</v>
      </c>
      <c r="K309" s="3">
        <v>15</v>
      </c>
      <c r="L309" s="3">
        <v>170</v>
      </c>
      <c r="M309" s="3">
        <v>90</v>
      </c>
      <c r="N309" s="3" t="s">
        <v>35</v>
      </c>
      <c r="O309" s="3" t="str">
        <f t="shared" si="4"/>
        <v>YES</v>
      </c>
      <c r="P309" s="3" t="s">
        <v>238</v>
      </c>
      <c r="Q309" s="3" t="s">
        <v>37</v>
      </c>
    </row>
    <row r="310" spans="1:17" x14ac:dyDescent="0.25">
      <c r="A310" s="2">
        <v>45753</v>
      </c>
      <c r="B310" s="2" t="s">
        <v>486</v>
      </c>
      <c r="C310" s="2" t="s">
        <v>488</v>
      </c>
      <c r="D310" s="3" t="s">
        <v>32</v>
      </c>
      <c r="E310" s="3" t="s">
        <v>10</v>
      </c>
      <c r="F310" s="3" t="s">
        <v>29</v>
      </c>
      <c r="G310" s="3" t="s">
        <v>47</v>
      </c>
      <c r="H310" s="3">
        <v>10</v>
      </c>
      <c r="I310" s="4">
        <v>40</v>
      </c>
      <c r="J310" s="3">
        <v>100</v>
      </c>
      <c r="K310" s="3">
        <v>5</v>
      </c>
      <c r="L310" s="3">
        <v>950</v>
      </c>
      <c r="M310" s="3">
        <v>550</v>
      </c>
      <c r="N310" s="3" t="s">
        <v>19</v>
      </c>
      <c r="O310" s="3" t="str">
        <f t="shared" si="4"/>
        <v>YES</v>
      </c>
      <c r="P310" s="3" t="s">
        <v>311</v>
      </c>
      <c r="Q310" s="3" t="s">
        <v>15</v>
      </c>
    </row>
    <row r="311" spans="1:17" x14ac:dyDescent="0.25">
      <c r="A311" s="2">
        <v>45854</v>
      </c>
      <c r="B311" s="2" t="s">
        <v>501</v>
      </c>
      <c r="C311" s="2" t="s">
        <v>487</v>
      </c>
      <c r="D311" s="3" t="s">
        <v>9</v>
      </c>
      <c r="E311" s="3" t="s">
        <v>16</v>
      </c>
      <c r="F311" s="3" t="s">
        <v>24</v>
      </c>
      <c r="G311" s="3" t="s">
        <v>42</v>
      </c>
      <c r="H311" s="3">
        <v>10</v>
      </c>
      <c r="I311" s="4">
        <v>45</v>
      </c>
      <c r="J311" s="3">
        <v>100</v>
      </c>
      <c r="K311" s="3">
        <v>5</v>
      </c>
      <c r="L311" s="3">
        <v>950</v>
      </c>
      <c r="M311" s="3">
        <v>500</v>
      </c>
      <c r="N311" s="3" t="s">
        <v>35</v>
      </c>
      <c r="O311" s="3" t="str">
        <f t="shared" si="4"/>
        <v>YES</v>
      </c>
      <c r="P311" s="3" t="s">
        <v>312</v>
      </c>
      <c r="Q311" s="3" t="s">
        <v>45</v>
      </c>
    </row>
    <row r="312" spans="1:17" x14ac:dyDescent="0.25">
      <c r="A312" s="2">
        <v>45843</v>
      </c>
      <c r="B312" s="2" t="s">
        <v>501</v>
      </c>
      <c r="C312" s="2" t="s">
        <v>490</v>
      </c>
      <c r="D312" s="3" t="s">
        <v>27</v>
      </c>
      <c r="E312" s="3" t="s">
        <v>28</v>
      </c>
      <c r="F312" s="3" t="s">
        <v>17</v>
      </c>
      <c r="G312" s="3" t="s">
        <v>18</v>
      </c>
      <c r="H312" s="3">
        <v>2</v>
      </c>
      <c r="I312" s="4">
        <v>30</v>
      </c>
      <c r="J312" s="3">
        <v>150</v>
      </c>
      <c r="K312" s="3">
        <v>15</v>
      </c>
      <c r="L312" s="3">
        <v>255</v>
      </c>
      <c r="M312" s="3">
        <v>195</v>
      </c>
      <c r="N312" s="3" t="s">
        <v>13</v>
      </c>
      <c r="O312" s="3" t="str">
        <f t="shared" si="4"/>
        <v>YES</v>
      </c>
      <c r="P312" s="3" t="s">
        <v>313</v>
      </c>
      <c r="Q312" s="3" t="s">
        <v>45</v>
      </c>
    </row>
    <row r="313" spans="1:17" x14ac:dyDescent="0.25">
      <c r="A313" s="2">
        <v>45945</v>
      </c>
      <c r="B313" s="2" t="s">
        <v>499</v>
      </c>
      <c r="C313" s="2" t="s">
        <v>487</v>
      </c>
      <c r="D313" s="3" t="s">
        <v>27</v>
      </c>
      <c r="E313" s="3" t="s">
        <v>58</v>
      </c>
      <c r="F313" s="3" t="s">
        <v>29</v>
      </c>
      <c r="G313" s="3" t="s">
        <v>54</v>
      </c>
      <c r="H313" s="3">
        <v>2</v>
      </c>
      <c r="I313" s="4">
        <v>80</v>
      </c>
      <c r="J313" s="3">
        <v>50</v>
      </c>
      <c r="K313" s="3">
        <v>10</v>
      </c>
      <c r="L313" s="3">
        <v>90</v>
      </c>
      <c r="M313" s="3">
        <v>-70</v>
      </c>
      <c r="N313" s="3" t="s">
        <v>13</v>
      </c>
      <c r="O313" s="3" t="str">
        <f t="shared" si="4"/>
        <v>YES</v>
      </c>
      <c r="P313" s="3" t="s">
        <v>314</v>
      </c>
      <c r="Q313" s="3" t="s">
        <v>15</v>
      </c>
    </row>
    <row r="314" spans="1:17" x14ac:dyDescent="0.25">
      <c r="A314" s="2">
        <v>45985</v>
      </c>
      <c r="B314" s="2" t="s">
        <v>485</v>
      </c>
      <c r="C314" s="2" t="s">
        <v>491</v>
      </c>
      <c r="D314" s="3" t="s">
        <v>32</v>
      </c>
      <c r="E314" s="3" t="s">
        <v>23</v>
      </c>
      <c r="F314" s="3" t="s">
        <v>29</v>
      </c>
      <c r="G314" s="3" t="s">
        <v>83</v>
      </c>
      <c r="H314" s="3">
        <v>5</v>
      </c>
      <c r="I314" s="4">
        <v>100</v>
      </c>
      <c r="J314" s="3">
        <v>200</v>
      </c>
      <c r="K314" s="3">
        <v>10</v>
      </c>
      <c r="L314" s="3">
        <v>900</v>
      </c>
      <c r="M314" s="3">
        <v>400</v>
      </c>
      <c r="N314" s="3" t="s">
        <v>19</v>
      </c>
      <c r="O314" s="3" t="str">
        <f t="shared" si="4"/>
        <v>YES</v>
      </c>
      <c r="P314" s="3" t="s">
        <v>315</v>
      </c>
      <c r="Q314" s="3" t="s">
        <v>41</v>
      </c>
    </row>
    <row r="315" spans="1:17" x14ac:dyDescent="0.25">
      <c r="A315" s="2">
        <v>45880</v>
      </c>
      <c r="B315" s="2" t="s">
        <v>495</v>
      </c>
      <c r="C315" s="2" t="s">
        <v>491</v>
      </c>
      <c r="D315" s="3" t="s">
        <v>38</v>
      </c>
      <c r="E315" s="3" t="s">
        <v>39</v>
      </c>
      <c r="F315" s="3" t="s">
        <v>17</v>
      </c>
      <c r="G315" s="3" t="s">
        <v>68</v>
      </c>
      <c r="H315" s="3">
        <v>1</v>
      </c>
      <c r="I315" s="4">
        <v>50</v>
      </c>
      <c r="J315" s="3">
        <v>250</v>
      </c>
      <c r="K315" s="3">
        <v>20</v>
      </c>
      <c r="L315" s="3">
        <v>200</v>
      </c>
      <c r="M315" s="3">
        <v>150</v>
      </c>
      <c r="N315" s="3" t="s">
        <v>19</v>
      </c>
      <c r="O315" s="3" t="str">
        <f t="shared" si="4"/>
        <v>YES</v>
      </c>
      <c r="P315" s="3" t="s">
        <v>316</v>
      </c>
      <c r="Q315" s="3" t="s">
        <v>61</v>
      </c>
    </row>
    <row r="316" spans="1:17" x14ac:dyDescent="0.25">
      <c r="A316" s="2">
        <v>45804</v>
      </c>
      <c r="B316" s="2" t="s">
        <v>492</v>
      </c>
      <c r="C316" s="2" t="s">
        <v>493</v>
      </c>
      <c r="D316" s="3" t="s">
        <v>22</v>
      </c>
      <c r="E316" s="3" t="s">
        <v>10</v>
      </c>
      <c r="F316" s="3" t="s">
        <v>29</v>
      </c>
      <c r="G316" s="3" t="s">
        <v>54</v>
      </c>
      <c r="H316" s="3">
        <v>2</v>
      </c>
      <c r="I316" s="4">
        <v>20</v>
      </c>
      <c r="J316" s="3">
        <v>200</v>
      </c>
      <c r="K316" s="3">
        <v>15</v>
      </c>
      <c r="L316" s="3">
        <v>340</v>
      </c>
      <c r="M316" s="3">
        <v>300</v>
      </c>
      <c r="N316" s="3" t="s">
        <v>13</v>
      </c>
      <c r="O316" s="3" t="str">
        <f t="shared" si="4"/>
        <v>YES</v>
      </c>
      <c r="P316" s="3" t="s">
        <v>160</v>
      </c>
      <c r="Q316" s="3" t="s">
        <v>61</v>
      </c>
    </row>
    <row r="317" spans="1:17" x14ac:dyDescent="0.25">
      <c r="A317" s="2">
        <v>45763</v>
      </c>
      <c r="B317" s="2" t="s">
        <v>486</v>
      </c>
      <c r="C317" s="2" t="s">
        <v>487</v>
      </c>
      <c r="D317" s="3" t="s">
        <v>9</v>
      </c>
      <c r="E317" s="3" t="s">
        <v>16</v>
      </c>
      <c r="F317" s="3" t="s">
        <v>24</v>
      </c>
      <c r="G317" s="3" t="s">
        <v>42</v>
      </c>
      <c r="H317" s="3">
        <v>2</v>
      </c>
      <c r="I317" s="4">
        <v>22.5</v>
      </c>
      <c r="J317" s="3">
        <v>50</v>
      </c>
      <c r="K317" s="3">
        <v>0</v>
      </c>
      <c r="L317" s="3">
        <v>100</v>
      </c>
      <c r="M317" s="3">
        <v>55</v>
      </c>
      <c r="N317" s="3" t="s">
        <v>35</v>
      </c>
      <c r="O317" s="3" t="str">
        <f t="shared" si="4"/>
        <v>NO</v>
      </c>
      <c r="P317" s="3" t="s">
        <v>317</v>
      </c>
      <c r="Q317" s="3" t="s">
        <v>15</v>
      </c>
    </row>
    <row r="318" spans="1:17" x14ac:dyDescent="0.25">
      <c r="A318" s="2">
        <v>45757</v>
      </c>
      <c r="B318" s="2" t="s">
        <v>486</v>
      </c>
      <c r="C318" s="2" t="s">
        <v>496</v>
      </c>
      <c r="D318" s="3" t="s">
        <v>32</v>
      </c>
      <c r="E318" s="3" t="s">
        <v>70</v>
      </c>
      <c r="F318" s="3" t="s">
        <v>29</v>
      </c>
      <c r="G318" s="3" t="s">
        <v>83</v>
      </c>
      <c r="H318" s="3">
        <v>1</v>
      </c>
      <c r="I318" s="4">
        <v>60</v>
      </c>
      <c r="J318" s="3">
        <v>150</v>
      </c>
      <c r="K318" s="3">
        <v>15</v>
      </c>
      <c r="L318" s="3">
        <v>127.5</v>
      </c>
      <c r="M318" s="3">
        <v>67.5</v>
      </c>
      <c r="N318" s="3" t="s">
        <v>19</v>
      </c>
      <c r="O318" s="3" t="str">
        <f t="shared" si="4"/>
        <v>YES</v>
      </c>
      <c r="P318" s="3" t="s">
        <v>318</v>
      </c>
      <c r="Q318" s="3" t="s">
        <v>41</v>
      </c>
    </row>
    <row r="319" spans="1:17" x14ac:dyDescent="0.25">
      <c r="A319" s="2">
        <v>45672</v>
      </c>
      <c r="B319" s="2" t="s">
        <v>489</v>
      </c>
      <c r="C319" s="2" t="s">
        <v>487</v>
      </c>
      <c r="D319" s="3" t="s">
        <v>32</v>
      </c>
      <c r="E319" s="3" t="s">
        <v>70</v>
      </c>
      <c r="F319" s="3" t="s">
        <v>17</v>
      </c>
      <c r="G319" s="3" t="s">
        <v>18</v>
      </c>
      <c r="H319" s="3">
        <v>10</v>
      </c>
      <c r="I319" s="4">
        <v>30</v>
      </c>
      <c r="J319" s="3">
        <v>150</v>
      </c>
      <c r="K319" s="3">
        <v>20</v>
      </c>
      <c r="L319" s="3">
        <v>1200</v>
      </c>
      <c r="M319" s="3">
        <v>900</v>
      </c>
      <c r="N319" s="3" t="s">
        <v>13</v>
      </c>
      <c r="O319" s="3" t="str">
        <f t="shared" si="4"/>
        <v>YES</v>
      </c>
      <c r="P319" s="3" t="s">
        <v>228</v>
      </c>
      <c r="Q319" s="3" t="s">
        <v>61</v>
      </c>
    </row>
    <row r="320" spans="1:17" x14ac:dyDescent="0.25">
      <c r="A320" s="2">
        <v>45661</v>
      </c>
      <c r="B320" s="2" t="s">
        <v>489</v>
      </c>
      <c r="C320" s="2" t="s">
        <v>490</v>
      </c>
      <c r="D320" s="3" t="s">
        <v>9</v>
      </c>
      <c r="E320" s="3" t="s">
        <v>58</v>
      </c>
      <c r="F320" s="3" t="s">
        <v>33</v>
      </c>
      <c r="G320" s="3" t="s">
        <v>50</v>
      </c>
      <c r="H320" s="3">
        <v>3</v>
      </c>
      <c r="I320" s="4">
        <v>67.5</v>
      </c>
      <c r="J320" s="3">
        <v>150</v>
      </c>
      <c r="K320" s="3">
        <v>15</v>
      </c>
      <c r="L320" s="3">
        <v>382.5</v>
      </c>
      <c r="M320" s="3">
        <v>180</v>
      </c>
      <c r="N320" s="3" t="s">
        <v>19</v>
      </c>
      <c r="O320" s="3" t="str">
        <f t="shared" si="4"/>
        <v>YES</v>
      </c>
      <c r="P320" s="3" t="s">
        <v>319</v>
      </c>
      <c r="Q320" s="3" t="s">
        <v>61</v>
      </c>
    </row>
    <row r="321" spans="1:17" x14ac:dyDescent="0.25">
      <c r="A321" s="2">
        <v>45977</v>
      </c>
      <c r="B321" s="2" t="s">
        <v>485</v>
      </c>
      <c r="C321" s="2" t="s">
        <v>488</v>
      </c>
      <c r="D321" s="3" t="s">
        <v>32</v>
      </c>
      <c r="E321" s="3" t="s">
        <v>58</v>
      </c>
      <c r="F321" s="3" t="s">
        <v>24</v>
      </c>
      <c r="G321" s="3" t="s">
        <v>25</v>
      </c>
      <c r="H321" s="3">
        <v>3</v>
      </c>
      <c r="I321" s="4">
        <v>67.5</v>
      </c>
      <c r="J321" s="3">
        <v>150</v>
      </c>
      <c r="K321" s="3">
        <v>0</v>
      </c>
      <c r="L321" s="3">
        <v>450</v>
      </c>
      <c r="M321" s="3">
        <v>247.5</v>
      </c>
      <c r="N321" s="3" t="s">
        <v>13</v>
      </c>
      <c r="O321" s="3" t="str">
        <f t="shared" si="4"/>
        <v>NO</v>
      </c>
      <c r="P321" s="3" t="s">
        <v>320</v>
      </c>
      <c r="Q321" s="3" t="s">
        <v>21</v>
      </c>
    </row>
    <row r="322" spans="1:17" x14ac:dyDescent="0.25">
      <c r="A322" s="2">
        <v>45953</v>
      </c>
      <c r="B322" s="2" t="s">
        <v>499</v>
      </c>
      <c r="C322" s="2" t="s">
        <v>496</v>
      </c>
      <c r="D322" s="3" t="s">
        <v>9</v>
      </c>
      <c r="E322" s="3" t="s">
        <v>16</v>
      </c>
      <c r="F322" s="3" t="s">
        <v>24</v>
      </c>
      <c r="G322" s="3" t="s">
        <v>71</v>
      </c>
      <c r="H322" s="3">
        <v>1</v>
      </c>
      <c r="I322" s="4">
        <v>67.5</v>
      </c>
      <c r="J322" s="3">
        <v>150</v>
      </c>
      <c r="K322" s="3">
        <v>0</v>
      </c>
      <c r="L322" s="3">
        <v>150</v>
      </c>
      <c r="M322" s="3">
        <v>82.5</v>
      </c>
      <c r="N322" s="3" t="s">
        <v>13</v>
      </c>
      <c r="O322" s="3" t="str">
        <f t="shared" si="4"/>
        <v>NO</v>
      </c>
      <c r="P322" s="3" t="s">
        <v>321</v>
      </c>
      <c r="Q322" s="3" t="s">
        <v>15</v>
      </c>
    </row>
    <row r="323" spans="1:17" x14ac:dyDescent="0.25">
      <c r="A323" s="2">
        <v>46000</v>
      </c>
      <c r="B323" s="2" t="s">
        <v>498</v>
      </c>
      <c r="C323" s="2" t="s">
        <v>493</v>
      </c>
      <c r="D323" s="3" t="s">
        <v>27</v>
      </c>
      <c r="E323" s="3" t="s">
        <v>23</v>
      </c>
      <c r="F323" s="3" t="s">
        <v>33</v>
      </c>
      <c r="G323" s="3" t="s">
        <v>63</v>
      </c>
      <c r="H323" s="3">
        <v>2</v>
      </c>
      <c r="I323" s="4">
        <v>45</v>
      </c>
      <c r="J323" s="3">
        <v>250</v>
      </c>
      <c r="K323" s="3">
        <v>15</v>
      </c>
      <c r="L323" s="3">
        <v>425</v>
      </c>
      <c r="M323" s="3">
        <v>335</v>
      </c>
      <c r="N323" s="3" t="s">
        <v>19</v>
      </c>
      <c r="O323" s="3" t="str">
        <f t="shared" ref="O323:O386" si="5">IF(K323&gt;0,"YES","NO")</f>
        <v>YES</v>
      </c>
      <c r="P323" s="3" t="s">
        <v>322</v>
      </c>
      <c r="Q323" s="3" t="s">
        <v>37</v>
      </c>
    </row>
    <row r="324" spans="1:17" x14ac:dyDescent="0.25">
      <c r="A324" s="2">
        <v>45856</v>
      </c>
      <c r="B324" s="2" t="s">
        <v>501</v>
      </c>
      <c r="C324" s="2" t="s">
        <v>484</v>
      </c>
      <c r="D324" s="3" t="s">
        <v>9</v>
      </c>
      <c r="E324" s="3" t="s">
        <v>70</v>
      </c>
      <c r="F324" s="3" t="s">
        <v>29</v>
      </c>
      <c r="G324" s="3" t="s">
        <v>30</v>
      </c>
      <c r="H324" s="3">
        <v>3</v>
      </c>
      <c r="I324" s="4">
        <v>60</v>
      </c>
      <c r="J324" s="3">
        <v>100</v>
      </c>
      <c r="K324" s="3">
        <v>20</v>
      </c>
      <c r="L324" s="3">
        <v>240</v>
      </c>
      <c r="M324" s="3">
        <v>60</v>
      </c>
      <c r="N324" s="3" t="s">
        <v>35</v>
      </c>
      <c r="O324" s="3" t="str">
        <f t="shared" si="5"/>
        <v>YES</v>
      </c>
      <c r="P324" s="3" t="s">
        <v>323</v>
      </c>
      <c r="Q324" s="3" t="s">
        <v>45</v>
      </c>
    </row>
    <row r="325" spans="1:17" x14ac:dyDescent="0.25">
      <c r="A325" s="2">
        <v>45880</v>
      </c>
      <c r="B325" s="2" t="s">
        <v>495</v>
      </c>
      <c r="C325" s="2" t="s">
        <v>491</v>
      </c>
      <c r="D325" s="3" t="s">
        <v>9</v>
      </c>
      <c r="E325" s="3" t="s">
        <v>23</v>
      </c>
      <c r="F325" s="3" t="s">
        <v>33</v>
      </c>
      <c r="G325" s="3" t="s">
        <v>50</v>
      </c>
      <c r="H325" s="3">
        <v>2</v>
      </c>
      <c r="I325" s="4">
        <v>67.5</v>
      </c>
      <c r="J325" s="3">
        <v>150</v>
      </c>
      <c r="K325" s="3">
        <v>0</v>
      </c>
      <c r="L325" s="3">
        <v>300</v>
      </c>
      <c r="M325" s="3">
        <v>165</v>
      </c>
      <c r="N325" s="3" t="s">
        <v>13</v>
      </c>
      <c r="O325" s="3" t="str">
        <f t="shared" si="5"/>
        <v>NO</v>
      </c>
      <c r="P325" s="3" t="s">
        <v>324</v>
      </c>
      <c r="Q325" s="3" t="s">
        <v>21</v>
      </c>
    </row>
    <row r="326" spans="1:17" x14ac:dyDescent="0.25">
      <c r="A326" s="2">
        <v>45824</v>
      </c>
      <c r="B326" s="2" t="s">
        <v>497</v>
      </c>
      <c r="C326" s="2" t="s">
        <v>491</v>
      </c>
      <c r="D326" s="3" t="s">
        <v>38</v>
      </c>
      <c r="E326" s="3" t="s">
        <v>70</v>
      </c>
      <c r="F326" s="3" t="s">
        <v>11</v>
      </c>
      <c r="G326" s="3" t="s">
        <v>115</v>
      </c>
      <c r="H326" s="3">
        <v>1</v>
      </c>
      <c r="I326" s="4">
        <v>45</v>
      </c>
      <c r="J326" s="3">
        <v>150</v>
      </c>
      <c r="K326" s="3">
        <v>20</v>
      </c>
      <c r="L326" s="3">
        <v>120</v>
      </c>
      <c r="M326" s="3">
        <v>75</v>
      </c>
      <c r="N326" s="3" t="s">
        <v>35</v>
      </c>
      <c r="O326" s="3" t="str">
        <f t="shared" si="5"/>
        <v>YES</v>
      </c>
      <c r="P326" s="3" t="s">
        <v>305</v>
      </c>
      <c r="Q326" s="3" t="s">
        <v>15</v>
      </c>
    </row>
    <row r="327" spans="1:17" x14ac:dyDescent="0.25">
      <c r="A327" s="2">
        <v>45766</v>
      </c>
      <c r="B327" s="2" t="s">
        <v>486</v>
      </c>
      <c r="C327" s="2" t="s">
        <v>490</v>
      </c>
      <c r="D327" s="3" t="s">
        <v>38</v>
      </c>
      <c r="E327" s="3" t="s">
        <v>58</v>
      </c>
      <c r="F327" s="3" t="s">
        <v>24</v>
      </c>
      <c r="G327" s="3" t="s">
        <v>42</v>
      </c>
      <c r="H327" s="3">
        <v>1</v>
      </c>
      <c r="I327" s="4">
        <v>67.5</v>
      </c>
      <c r="J327" s="3">
        <v>150</v>
      </c>
      <c r="K327" s="3">
        <v>5</v>
      </c>
      <c r="L327" s="3">
        <v>142.5</v>
      </c>
      <c r="M327" s="3">
        <v>75</v>
      </c>
      <c r="N327" s="3" t="s">
        <v>35</v>
      </c>
      <c r="O327" s="3" t="str">
        <f t="shared" si="5"/>
        <v>YES</v>
      </c>
      <c r="P327" s="3" t="s">
        <v>325</v>
      </c>
      <c r="Q327" s="3" t="s">
        <v>15</v>
      </c>
    </row>
    <row r="328" spans="1:17" x14ac:dyDescent="0.25">
      <c r="A328" s="2">
        <v>45707</v>
      </c>
      <c r="B328" s="2" t="s">
        <v>500</v>
      </c>
      <c r="C328" s="2" t="s">
        <v>487</v>
      </c>
      <c r="D328" s="3" t="s">
        <v>22</v>
      </c>
      <c r="E328" s="3" t="s">
        <v>58</v>
      </c>
      <c r="F328" s="3" t="s">
        <v>17</v>
      </c>
      <c r="G328" s="3" t="s">
        <v>68</v>
      </c>
      <c r="H328" s="3">
        <v>10</v>
      </c>
      <c r="I328" s="4">
        <v>50</v>
      </c>
      <c r="J328" s="3">
        <v>250</v>
      </c>
      <c r="K328" s="3">
        <v>20</v>
      </c>
      <c r="L328" s="3">
        <v>2000</v>
      </c>
      <c r="M328" s="3">
        <v>1500</v>
      </c>
      <c r="N328" s="3" t="s">
        <v>19</v>
      </c>
      <c r="O328" s="3" t="str">
        <f t="shared" si="5"/>
        <v>YES</v>
      </c>
      <c r="P328" s="3" t="s">
        <v>326</v>
      </c>
      <c r="Q328" s="3" t="s">
        <v>15</v>
      </c>
    </row>
    <row r="329" spans="1:17" x14ac:dyDescent="0.25">
      <c r="A329" s="2">
        <v>45671</v>
      </c>
      <c r="B329" s="2" t="s">
        <v>489</v>
      </c>
      <c r="C329" s="2" t="s">
        <v>493</v>
      </c>
      <c r="D329" s="3" t="s">
        <v>9</v>
      </c>
      <c r="E329" s="3" t="s">
        <v>39</v>
      </c>
      <c r="F329" s="3" t="s">
        <v>29</v>
      </c>
      <c r="G329" s="3" t="s">
        <v>30</v>
      </c>
      <c r="H329" s="3">
        <v>5</v>
      </c>
      <c r="I329" s="4">
        <v>60</v>
      </c>
      <c r="J329" s="3">
        <v>200</v>
      </c>
      <c r="K329" s="3">
        <v>10</v>
      </c>
      <c r="L329" s="3">
        <v>900</v>
      </c>
      <c r="M329" s="3">
        <v>600</v>
      </c>
      <c r="N329" s="3" t="s">
        <v>13</v>
      </c>
      <c r="O329" s="3" t="str">
        <f t="shared" si="5"/>
        <v>YES</v>
      </c>
      <c r="P329" s="3" t="s">
        <v>266</v>
      </c>
      <c r="Q329" s="3" t="s">
        <v>37</v>
      </c>
    </row>
    <row r="330" spans="1:17" x14ac:dyDescent="0.25">
      <c r="A330" s="2">
        <v>45789</v>
      </c>
      <c r="B330" s="2" t="s">
        <v>492</v>
      </c>
      <c r="C330" s="2" t="s">
        <v>491</v>
      </c>
      <c r="D330" s="3" t="s">
        <v>27</v>
      </c>
      <c r="E330" s="3" t="s">
        <v>16</v>
      </c>
      <c r="F330" s="3" t="s">
        <v>33</v>
      </c>
      <c r="G330" s="3" t="s">
        <v>50</v>
      </c>
      <c r="H330" s="3">
        <v>2</v>
      </c>
      <c r="I330" s="4">
        <v>67.5</v>
      </c>
      <c r="J330" s="3">
        <v>150</v>
      </c>
      <c r="K330" s="3">
        <v>15</v>
      </c>
      <c r="L330" s="3">
        <v>255</v>
      </c>
      <c r="M330" s="3">
        <v>120</v>
      </c>
      <c r="N330" s="3" t="s">
        <v>13</v>
      </c>
      <c r="O330" s="3" t="str">
        <f t="shared" si="5"/>
        <v>YES</v>
      </c>
      <c r="P330" s="3" t="s">
        <v>150</v>
      </c>
      <c r="Q330" s="3" t="s">
        <v>15</v>
      </c>
    </row>
    <row r="331" spans="1:17" x14ac:dyDescent="0.25">
      <c r="A331" s="2">
        <v>45756</v>
      </c>
      <c r="B331" s="2" t="s">
        <v>486</v>
      </c>
      <c r="C331" s="2" t="s">
        <v>487</v>
      </c>
      <c r="D331" s="3" t="s">
        <v>38</v>
      </c>
      <c r="E331" s="3" t="s">
        <v>10</v>
      </c>
      <c r="F331" s="3" t="s">
        <v>29</v>
      </c>
      <c r="G331" s="3" t="s">
        <v>47</v>
      </c>
      <c r="H331" s="3">
        <v>3</v>
      </c>
      <c r="I331" s="4">
        <v>100</v>
      </c>
      <c r="J331" s="3">
        <v>150</v>
      </c>
      <c r="K331" s="3">
        <v>0</v>
      </c>
      <c r="L331" s="3">
        <v>450</v>
      </c>
      <c r="M331" s="3">
        <v>150</v>
      </c>
      <c r="N331" s="3" t="s">
        <v>35</v>
      </c>
      <c r="O331" s="3" t="str">
        <f t="shared" si="5"/>
        <v>NO</v>
      </c>
      <c r="P331" s="3" t="s">
        <v>91</v>
      </c>
      <c r="Q331" s="3" t="s">
        <v>61</v>
      </c>
    </row>
    <row r="332" spans="1:17" x14ac:dyDescent="0.25">
      <c r="A332" s="2">
        <v>45700</v>
      </c>
      <c r="B332" s="2" t="s">
        <v>500</v>
      </c>
      <c r="C332" s="2" t="s">
        <v>487</v>
      </c>
      <c r="D332" s="3" t="s">
        <v>22</v>
      </c>
      <c r="E332" s="3" t="s">
        <v>39</v>
      </c>
      <c r="F332" s="3" t="s">
        <v>11</v>
      </c>
      <c r="G332" s="3" t="s">
        <v>12</v>
      </c>
      <c r="H332" s="3">
        <v>3</v>
      </c>
      <c r="I332" s="4">
        <v>75</v>
      </c>
      <c r="J332" s="3">
        <v>250</v>
      </c>
      <c r="K332" s="3">
        <v>10</v>
      </c>
      <c r="L332" s="3">
        <v>675</v>
      </c>
      <c r="M332" s="3">
        <v>450</v>
      </c>
      <c r="N332" s="3" t="s">
        <v>13</v>
      </c>
      <c r="O332" s="3" t="str">
        <f t="shared" si="5"/>
        <v>YES</v>
      </c>
      <c r="P332" s="3" t="s">
        <v>327</v>
      </c>
      <c r="Q332" s="3" t="s">
        <v>45</v>
      </c>
    </row>
    <row r="333" spans="1:17" x14ac:dyDescent="0.25">
      <c r="A333" s="2">
        <v>45924</v>
      </c>
      <c r="B333" s="2" t="s">
        <v>483</v>
      </c>
      <c r="C333" s="2" t="s">
        <v>487</v>
      </c>
      <c r="D333" s="3" t="s">
        <v>9</v>
      </c>
      <c r="E333" s="3" t="s">
        <v>23</v>
      </c>
      <c r="F333" s="3" t="s">
        <v>17</v>
      </c>
      <c r="G333" s="3" t="s">
        <v>18</v>
      </c>
      <c r="H333" s="3">
        <v>3</v>
      </c>
      <c r="I333" s="4">
        <v>40</v>
      </c>
      <c r="J333" s="3">
        <v>200</v>
      </c>
      <c r="K333" s="3">
        <v>5</v>
      </c>
      <c r="L333" s="3">
        <v>570</v>
      </c>
      <c r="M333" s="3">
        <v>450</v>
      </c>
      <c r="N333" s="3" t="s">
        <v>35</v>
      </c>
      <c r="O333" s="3" t="str">
        <f t="shared" si="5"/>
        <v>YES</v>
      </c>
      <c r="P333" s="3" t="s">
        <v>113</v>
      </c>
      <c r="Q333" s="3" t="s">
        <v>21</v>
      </c>
    </row>
    <row r="334" spans="1:17" x14ac:dyDescent="0.25">
      <c r="A334" s="2">
        <v>45884</v>
      </c>
      <c r="B334" s="2" t="s">
        <v>495</v>
      </c>
      <c r="C334" s="2" t="s">
        <v>484</v>
      </c>
      <c r="D334" s="3" t="s">
        <v>9</v>
      </c>
      <c r="E334" s="3" t="s">
        <v>70</v>
      </c>
      <c r="F334" s="3" t="s">
        <v>24</v>
      </c>
      <c r="G334" s="3" t="s">
        <v>42</v>
      </c>
      <c r="H334" s="3">
        <v>2</v>
      </c>
      <c r="I334" s="4">
        <v>22.5</v>
      </c>
      <c r="J334" s="3">
        <v>50</v>
      </c>
      <c r="K334" s="3">
        <v>15</v>
      </c>
      <c r="L334" s="3">
        <v>85</v>
      </c>
      <c r="M334" s="3">
        <v>40</v>
      </c>
      <c r="N334" s="3" t="s">
        <v>13</v>
      </c>
      <c r="O334" s="3" t="str">
        <f t="shared" si="5"/>
        <v>YES</v>
      </c>
      <c r="P334" s="3" t="s">
        <v>328</v>
      </c>
      <c r="Q334" s="3" t="s">
        <v>37</v>
      </c>
    </row>
    <row r="335" spans="1:17" x14ac:dyDescent="0.25">
      <c r="A335" s="2">
        <v>45902</v>
      </c>
      <c r="B335" s="2" t="s">
        <v>483</v>
      </c>
      <c r="C335" s="2" t="s">
        <v>493</v>
      </c>
      <c r="D335" s="3" t="s">
        <v>22</v>
      </c>
      <c r="E335" s="3" t="s">
        <v>10</v>
      </c>
      <c r="F335" s="3" t="s">
        <v>11</v>
      </c>
      <c r="G335" s="3" t="s">
        <v>115</v>
      </c>
      <c r="H335" s="3">
        <v>5</v>
      </c>
      <c r="I335" s="4">
        <v>15</v>
      </c>
      <c r="J335" s="3">
        <v>50</v>
      </c>
      <c r="K335" s="3">
        <v>15</v>
      </c>
      <c r="L335" s="3">
        <v>212.5</v>
      </c>
      <c r="M335" s="3">
        <v>137.5</v>
      </c>
      <c r="N335" s="3" t="s">
        <v>35</v>
      </c>
      <c r="O335" s="3" t="str">
        <f t="shared" si="5"/>
        <v>YES</v>
      </c>
      <c r="P335" s="3" t="s">
        <v>167</v>
      </c>
      <c r="Q335" s="3" t="s">
        <v>21</v>
      </c>
    </row>
    <row r="336" spans="1:17" x14ac:dyDescent="0.25">
      <c r="A336" s="2">
        <v>45706</v>
      </c>
      <c r="B336" s="2" t="s">
        <v>500</v>
      </c>
      <c r="C336" s="2" t="s">
        <v>493</v>
      </c>
      <c r="D336" s="3" t="s">
        <v>27</v>
      </c>
      <c r="E336" s="3" t="s">
        <v>28</v>
      </c>
      <c r="F336" s="3" t="s">
        <v>17</v>
      </c>
      <c r="G336" s="3" t="s">
        <v>107</v>
      </c>
      <c r="H336" s="3">
        <v>2</v>
      </c>
      <c r="I336" s="4">
        <v>30</v>
      </c>
      <c r="J336" s="3">
        <v>150</v>
      </c>
      <c r="K336" s="3">
        <v>0</v>
      </c>
      <c r="L336" s="3">
        <v>300</v>
      </c>
      <c r="M336" s="3">
        <v>240</v>
      </c>
      <c r="N336" s="3" t="s">
        <v>35</v>
      </c>
      <c r="O336" s="3" t="str">
        <f t="shared" si="5"/>
        <v>NO</v>
      </c>
      <c r="P336" s="3" t="s">
        <v>249</v>
      </c>
      <c r="Q336" s="3" t="s">
        <v>61</v>
      </c>
    </row>
    <row r="337" spans="1:17" x14ac:dyDescent="0.25">
      <c r="A337" s="2">
        <v>46003</v>
      </c>
      <c r="B337" s="2" t="s">
        <v>498</v>
      </c>
      <c r="C337" s="2" t="s">
        <v>484</v>
      </c>
      <c r="D337" s="3" t="s">
        <v>9</v>
      </c>
      <c r="E337" s="3" t="s">
        <v>10</v>
      </c>
      <c r="F337" s="3" t="s">
        <v>24</v>
      </c>
      <c r="G337" s="3" t="s">
        <v>42</v>
      </c>
      <c r="H337" s="3">
        <v>3</v>
      </c>
      <c r="I337" s="4">
        <v>90</v>
      </c>
      <c r="J337" s="3">
        <v>200</v>
      </c>
      <c r="K337" s="3">
        <v>15</v>
      </c>
      <c r="L337" s="3">
        <v>510</v>
      </c>
      <c r="M337" s="3">
        <v>240</v>
      </c>
      <c r="N337" s="3" t="s">
        <v>19</v>
      </c>
      <c r="O337" s="3" t="str">
        <f t="shared" si="5"/>
        <v>YES</v>
      </c>
      <c r="P337" s="3" t="s">
        <v>329</v>
      </c>
      <c r="Q337" s="3" t="s">
        <v>61</v>
      </c>
    </row>
    <row r="338" spans="1:17" x14ac:dyDescent="0.25">
      <c r="A338" s="2">
        <v>45840</v>
      </c>
      <c r="B338" s="2" t="s">
        <v>501</v>
      </c>
      <c r="C338" s="2" t="s">
        <v>487</v>
      </c>
      <c r="D338" s="3" t="s">
        <v>22</v>
      </c>
      <c r="E338" s="3" t="s">
        <v>16</v>
      </c>
      <c r="F338" s="3" t="s">
        <v>29</v>
      </c>
      <c r="G338" s="3" t="s">
        <v>83</v>
      </c>
      <c r="H338" s="3">
        <v>3</v>
      </c>
      <c r="I338" s="4">
        <v>20</v>
      </c>
      <c r="J338" s="3">
        <v>150</v>
      </c>
      <c r="K338" s="3">
        <v>0</v>
      </c>
      <c r="L338" s="3">
        <v>450</v>
      </c>
      <c r="M338" s="3">
        <v>390</v>
      </c>
      <c r="N338" s="3" t="s">
        <v>13</v>
      </c>
      <c r="O338" s="3" t="str">
        <f t="shared" si="5"/>
        <v>NO</v>
      </c>
      <c r="P338" s="3" t="s">
        <v>330</v>
      </c>
      <c r="Q338" s="3" t="s">
        <v>45</v>
      </c>
    </row>
    <row r="339" spans="1:17" x14ac:dyDescent="0.25">
      <c r="A339" s="2">
        <v>45731</v>
      </c>
      <c r="B339" s="2" t="s">
        <v>494</v>
      </c>
      <c r="C339" s="2" t="s">
        <v>490</v>
      </c>
      <c r="D339" s="3" t="s">
        <v>9</v>
      </c>
      <c r="E339" s="3" t="s">
        <v>58</v>
      </c>
      <c r="F339" s="3" t="s">
        <v>33</v>
      </c>
      <c r="G339" s="3" t="s">
        <v>50</v>
      </c>
      <c r="H339" s="3">
        <v>10</v>
      </c>
      <c r="I339" s="4">
        <v>90</v>
      </c>
      <c r="J339" s="3">
        <v>50</v>
      </c>
      <c r="K339" s="3">
        <v>5</v>
      </c>
      <c r="L339" s="3">
        <v>475</v>
      </c>
      <c r="M339" s="3">
        <v>-425</v>
      </c>
      <c r="N339" s="3" t="s">
        <v>35</v>
      </c>
      <c r="O339" s="3" t="str">
        <f t="shared" si="5"/>
        <v>YES</v>
      </c>
      <c r="P339" s="3" t="s">
        <v>186</v>
      </c>
      <c r="Q339" s="3" t="s">
        <v>15</v>
      </c>
    </row>
    <row r="340" spans="1:17" x14ac:dyDescent="0.25">
      <c r="A340" s="2">
        <v>45787</v>
      </c>
      <c r="B340" s="2" t="s">
        <v>492</v>
      </c>
      <c r="C340" s="2" t="s">
        <v>490</v>
      </c>
      <c r="D340" s="3" t="s">
        <v>32</v>
      </c>
      <c r="E340" s="3" t="s">
        <v>39</v>
      </c>
      <c r="F340" s="3" t="s">
        <v>33</v>
      </c>
      <c r="G340" s="3" t="s">
        <v>63</v>
      </c>
      <c r="H340" s="3">
        <v>2</v>
      </c>
      <c r="I340" s="4">
        <v>67.5</v>
      </c>
      <c r="J340" s="3">
        <v>200</v>
      </c>
      <c r="K340" s="3">
        <v>20</v>
      </c>
      <c r="L340" s="3">
        <v>320</v>
      </c>
      <c r="M340" s="3">
        <v>185</v>
      </c>
      <c r="N340" s="3" t="s">
        <v>35</v>
      </c>
      <c r="O340" s="3" t="str">
        <f t="shared" si="5"/>
        <v>YES</v>
      </c>
      <c r="P340" s="3" t="s">
        <v>331</v>
      </c>
      <c r="Q340" s="3" t="s">
        <v>21</v>
      </c>
    </row>
    <row r="341" spans="1:17" x14ac:dyDescent="0.25">
      <c r="A341" s="2">
        <v>46006</v>
      </c>
      <c r="B341" s="2" t="s">
        <v>498</v>
      </c>
      <c r="C341" s="2" t="s">
        <v>491</v>
      </c>
      <c r="D341" s="3" t="s">
        <v>22</v>
      </c>
      <c r="E341" s="3" t="s">
        <v>28</v>
      </c>
      <c r="F341" s="3" t="s">
        <v>24</v>
      </c>
      <c r="G341" s="3" t="s">
        <v>25</v>
      </c>
      <c r="H341" s="3">
        <v>10</v>
      </c>
      <c r="I341" s="4">
        <v>67.5</v>
      </c>
      <c r="J341" s="3">
        <v>150</v>
      </c>
      <c r="K341" s="3">
        <v>10</v>
      </c>
      <c r="L341" s="3">
        <v>1350</v>
      </c>
      <c r="M341" s="3">
        <v>675</v>
      </c>
      <c r="N341" s="3" t="s">
        <v>13</v>
      </c>
      <c r="O341" s="3" t="str">
        <f t="shared" si="5"/>
        <v>YES</v>
      </c>
      <c r="P341" s="3" t="s">
        <v>332</v>
      </c>
      <c r="Q341" s="3" t="s">
        <v>15</v>
      </c>
    </row>
    <row r="342" spans="1:17" x14ac:dyDescent="0.25">
      <c r="A342" s="2">
        <v>45832</v>
      </c>
      <c r="B342" s="2" t="s">
        <v>497</v>
      </c>
      <c r="C342" s="2" t="s">
        <v>493</v>
      </c>
      <c r="D342" s="3" t="s">
        <v>22</v>
      </c>
      <c r="E342" s="3" t="s">
        <v>23</v>
      </c>
      <c r="F342" s="3" t="s">
        <v>29</v>
      </c>
      <c r="G342" s="3" t="s">
        <v>83</v>
      </c>
      <c r="H342" s="3">
        <v>2</v>
      </c>
      <c r="I342" s="4">
        <v>40</v>
      </c>
      <c r="J342" s="3">
        <v>250</v>
      </c>
      <c r="K342" s="3">
        <v>20</v>
      </c>
      <c r="L342" s="3">
        <v>400</v>
      </c>
      <c r="M342" s="3">
        <v>320</v>
      </c>
      <c r="N342" s="3" t="s">
        <v>13</v>
      </c>
      <c r="O342" s="3" t="str">
        <f t="shared" si="5"/>
        <v>YES</v>
      </c>
      <c r="P342" s="3" t="s">
        <v>333</v>
      </c>
      <c r="Q342" s="3" t="s">
        <v>15</v>
      </c>
    </row>
    <row r="343" spans="1:17" x14ac:dyDescent="0.25">
      <c r="A343" s="2">
        <v>45893</v>
      </c>
      <c r="B343" s="2" t="s">
        <v>495</v>
      </c>
      <c r="C343" s="2" t="s">
        <v>488</v>
      </c>
      <c r="D343" s="3" t="s">
        <v>27</v>
      </c>
      <c r="E343" s="3" t="s">
        <v>23</v>
      </c>
      <c r="F343" s="3" t="s">
        <v>33</v>
      </c>
      <c r="G343" s="3" t="s">
        <v>34</v>
      </c>
      <c r="H343" s="3">
        <v>10</v>
      </c>
      <c r="I343" s="4">
        <v>67.5</v>
      </c>
      <c r="J343" s="3">
        <v>100</v>
      </c>
      <c r="K343" s="3">
        <v>15</v>
      </c>
      <c r="L343" s="3">
        <v>850</v>
      </c>
      <c r="M343" s="3">
        <v>175</v>
      </c>
      <c r="N343" s="3" t="s">
        <v>35</v>
      </c>
      <c r="O343" s="3" t="str">
        <f t="shared" si="5"/>
        <v>YES</v>
      </c>
      <c r="P343" s="3" t="s">
        <v>334</v>
      </c>
      <c r="Q343" s="3" t="s">
        <v>21</v>
      </c>
    </row>
    <row r="344" spans="1:17" x14ac:dyDescent="0.25">
      <c r="A344" s="2">
        <v>45692</v>
      </c>
      <c r="B344" s="2" t="s">
        <v>500</v>
      </c>
      <c r="C344" s="2" t="s">
        <v>493</v>
      </c>
      <c r="D344" s="3" t="s">
        <v>32</v>
      </c>
      <c r="E344" s="3" t="s">
        <v>70</v>
      </c>
      <c r="F344" s="3" t="s">
        <v>17</v>
      </c>
      <c r="G344" s="3" t="s">
        <v>107</v>
      </c>
      <c r="H344" s="3">
        <v>5</v>
      </c>
      <c r="I344" s="4">
        <v>30</v>
      </c>
      <c r="J344" s="3">
        <v>150</v>
      </c>
      <c r="K344" s="3">
        <v>15</v>
      </c>
      <c r="L344" s="3">
        <v>637.5</v>
      </c>
      <c r="M344" s="3">
        <v>487.5</v>
      </c>
      <c r="N344" s="3" t="s">
        <v>35</v>
      </c>
      <c r="O344" s="3" t="str">
        <f t="shared" si="5"/>
        <v>YES</v>
      </c>
      <c r="P344" s="3" t="s">
        <v>335</v>
      </c>
      <c r="Q344" s="3" t="s">
        <v>37</v>
      </c>
    </row>
    <row r="345" spans="1:17" x14ac:dyDescent="0.25">
      <c r="A345" s="2">
        <v>45982</v>
      </c>
      <c r="B345" s="2" t="s">
        <v>485</v>
      </c>
      <c r="C345" s="2" t="s">
        <v>484</v>
      </c>
      <c r="D345" s="3" t="s">
        <v>9</v>
      </c>
      <c r="E345" s="3" t="s">
        <v>70</v>
      </c>
      <c r="F345" s="3" t="s">
        <v>29</v>
      </c>
      <c r="G345" s="3" t="s">
        <v>54</v>
      </c>
      <c r="H345" s="3">
        <v>10</v>
      </c>
      <c r="I345" s="4">
        <v>40</v>
      </c>
      <c r="J345" s="3">
        <v>50</v>
      </c>
      <c r="K345" s="3">
        <v>0</v>
      </c>
      <c r="L345" s="3">
        <v>500</v>
      </c>
      <c r="M345" s="3">
        <v>100</v>
      </c>
      <c r="N345" s="3" t="s">
        <v>35</v>
      </c>
      <c r="O345" s="3" t="str">
        <f t="shared" si="5"/>
        <v>NO</v>
      </c>
      <c r="P345" s="3" t="s">
        <v>166</v>
      </c>
      <c r="Q345" s="3" t="s">
        <v>37</v>
      </c>
    </row>
    <row r="346" spans="1:17" x14ac:dyDescent="0.25">
      <c r="A346" s="2">
        <v>46017</v>
      </c>
      <c r="B346" s="2" t="s">
        <v>498</v>
      </c>
      <c r="C346" s="2" t="s">
        <v>484</v>
      </c>
      <c r="D346" s="3" t="s">
        <v>27</v>
      </c>
      <c r="E346" s="3" t="s">
        <v>70</v>
      </c>
      <c r="F346" s="3" t="s">
        <v>11</v>
      </c>
      <c r="G346" s="3" t="s">
        <v>12</v>
      </c>
      <c r="H346" s="3">
        <v>10</v>
      </c>
      <c r="I346" s="4">
        <v>30</v>
      </c>
      <c r="J346" s="3">
        <v>100</v>
      </c>
      <c r="K346" s="3">
        <v>0</v>
      </c>
      <c r="L346" s="3">
        <v>1000</v>
      </c>
      <c r="M346" s="3">
        <v>700</v>
      </c>
      <c r="N346" s="3" t="s">
        <v>35</v>
      </c>
      <c r="O346" s="3" t="str">
        <f t="shared" si="5"/>
        <v>NO</v>
      </c>
      <c r="P346" s="3" t="s">
        <v>336</v>
      </c>
      <c r="Q346" s="3" t="s">
        <v>21</v>
      </c>
    </row>
    <row r="347" spans="1:17" x14ac:dyDescent="0.25">
      <c r="A347" s="2">
        <v>45836</v>
      </c>
      <c r="B347" s="2" t="s">
        <v>497</v>
      </c>
      <c r="C347" s="2" t="s">
        <v>490</v>
      </c>
      <c r="D347" s="3" t="s">
        <v>27</v>
      </c>
      <c r="E347" s="3" t="s">
        <v>58</v>
      </c>
      <c r="F347" s="3" t="s">
        <v>11</v>
      </c>
      <c r="G347" s="3" t="s">
        <v>115</v>
      </c>
      <c r="H347" s="3">
        <v>2</v>
      </c>
      <c r="I347" s="4">
        <v>60</v>
      </c>
      <c r="J347" s="3">
        <v>200</v>
      </c>
      <c r="K347" s="3">
        <v>15</v>
      </c>
      <c r="L347" s="3">
        <v>340</v>
      </c>
      <c r="M347" s="3">
        <v>220</v>
      </c>
      <c r="N347" s="3" t="s">
        <v>13</v>
      </c>
      <c r="O347" s="3" t="str">
        <f t="shared" si="5"/>
        <v>YES</v>
      </c>
      <c r="P347" s="3" t="s">
        <v>337</v>
      </c>
      <c r="Q347" s="3" t="s">
        <v>21</v>
      </c>
    </row>
    <row r="348" spans="1:17" x14ac:dyDescent="0.25">
      <c r="A348" s="2">
        <v>45995</v>
      </c>
      <c r="B348" s="2" t="s">
        <v>498</v>
      </c>
      <c r="C348" s="2" t="s">
        <v>496</v>
      </c>
      <c r="D348" s="3" t="s">
        <v>9</v>
      </c>
      <c r="E348" s="3" t="s">
        <v>39</v>
      </c>
      <c r="F348" s="3" t="s">
        <v>17</v>
      </c>
      <c r="G348" s="3" t="s">
        <v>18</v>
      </c>
      <c r="H348" s="3">
        <v>1</v>
      </c>
      <c r="I348" s="4">
        <v>30</v>
      </c>
      <c r="J348" s="3">
        <v>150</v>
      </c>
      <c r="K348" s="3">
        <v>5</v>
      </c>
      <c r="L348" s="3">
        <v>142.5</v>
      </c>
      <c r="M348" s="3">
        <v>112.5</v>
      </c>
      <c r="N348" s="3" t="s">
        <v>13</v>
      </c>
      <c r="O348" s="3" t="str">
        <f t="shared" si="5"/>
        <v>YES</v>
      </c>
      <c r="P348" s="3" t="s">
        <v>338</v>
      </c>
      <c r="Q348" s="3" t="s">
        <v>37</v>
      </c>
    </row>
    <row r="349" spans="1:17" x14ac:dyDescent="0.25">
      <c r="A349" s="2">
        <v>45907</v>
      </c>
      <c r="B349" s="2" t="s">
        <v>483</v>
      </c>
      <c r="C349" s="2" t="s">
        <v>488</v>
      </c>
      <c r="D349" s="3" t="s">
        <v>32</v>
      </c>
      <c r="E349" s="3" t="s">
        <v>58</v>
      </c>
      <c r="F349" s="3" t="s">
        <v>17</v>
      </c>
      <c r="G349" s="3" t="s">
        <v>56</v>
      </c>
      <c r="H349" s="3">
        <v>5</v>
      </c>
      <c r="I349" s="4">
        <v>30</v>
      </c>
      <c r="J349" s="3">
        <v>150</v>
      </c>
      <c r="K349" s="3">
        <v>5</v>
      </c>
      <c r="L349" s="3">
        <v>712.5</v>
      </c>
      <c r="M349" s="3">
        <v>562.5</v>
      </c>
      <c r="N349" s="3" t="s">
        <v>19</v>
      </c>
      <c r="O349" s="3" t="str">
        <f t="shared" si="5"/>
        <v>YES</v>
      </c>
      <c r="P349" s="3" t="s">
        <v>123</v>
      </c>
      <c r="Q349" s="3" t="s">
        <v>15</v>
      </c>
    </row>
    <row r="350" spans="1:17" x14ac:dyDescent="0.25">
      <c r="A350" s="2">
        <v>45963</v>
      </c>
      <c r="B350" s="2" t="s">
        <v>485</v>
      </c>
      <c r="C350" s="2" t="s">
        <v>488</v>
      </c>
      <c r="D350" s="3" t="s">
        <v>9</v>
      </c>
      <c r="E350" s="3" t="s">
        <v>23</v>
      </c>
      <c r="F350" s="3" t="s">
        <v>29</v>
      </c>
      <c r="G350" s="3" t="s">
        <v>54</v>
      </c>
      <c r="H350" s="3">
        <v>5</v>
      </c>
      <c r="I350" s="4">
        <v>60</v>
      </c>
      <c r="J350" s="3">
        <v>50</v>
      </c>
      <c r="K350" s="3">
        <v>20</v>
      </c>
      <c r="L350" s="3">
        <v>200</v>
      </c>
      <c r="M350" s="3">
        <v>-100</v>
      </c>
      <c r="N350" s="3" t="s">
        <v>35</v>
      </c>
      <c r="O350" s="3" t="str">
        <f t="shared" si="5"/>
        <v>YES</v>
      </c>
      <c r="P350" s="3" t="s">
        <v>40</v>
      </c>
      <c r="Q350" s="3" t="s">
        <v>61</v>
      </c>
    </row>
    <row r="351" spans="1:17" x14ac:dyDescent="0.25">
      <c r="A351" s="2">
        <v>45845</v>
      </c>
      <c r="B351" s="2" t="s">
        <v>501</v>
      </c>
      <c r="C351" s="2" t="s">
        <v>491</v>
      </c>
      <c r="D351" s="3" t="s">
        <v>27</v>
      </c>
      <c r="E351" s="3" t="s">
        <v>23</v>
      </c>
      <c r="F351" s="3" t="s">
        <v>11</v>
      </c>
      <c r="G351" s="3" t="s">
        <v>105</v>
      </c>
      <c r="H351" s="3">
        <v>2</v>
      </c>
      <c r="I351" s="4">
        <v>45</v>
      </c>
      <c r="J351" s="3">
        <v>150</v>
      </c>
      <c r="K351" s="3">
        <v>20</v>
      </c>
      <c r="L351" s="3">
        <v>240</v>
      </c>
      <c r="M351" s="3">
        <v>150</v>
      </c>
      <c r="N351" s="3" t="s">
        <v>19</v>
      </c>
      <c r="O351" s="3" t="str">
        <f t="shared" si="5"/>
        <v>YES</v>
      </c>
      <c r="P351" s="3" t="s">
        <v>339</v>
      </c>
      <c r="Q351" s="3" t="s">
        <v>45</v>
      </c>
    </row>
    <row r="352" spans="1:17" x14ac:dyDescent="0.25">
      <c r="A352" s="2">
        <v>45800</v>
      </c>
      <c r="B352" s="2" t="s">
        <v>492</v>
      </c>
      <c r="C352" s="2" t="s">
        <v>484</v>
      </c>
      <c r="D352" s="3" t="s">
        <v>27</v>
      </c>
      <c r="E352" s="3" t="s">
        <v>16</v>
      </c>
      <c r="F352" s="3" t="s">
        <v>24</v>
      </c>
      <c r="G352" s="3" t="s">
        <v>25</v>
      </c>
      <c r="H352" s="3">
        <v>2</v>
      </c>
      <c r="I352" s="4">
        <v>67.5</v>
      </c>
      <c r="J352" s="3">
        <v>150</v>
      </c>
      <c r="K352" s="3">
        <v>0</v>
      </c>
      <c r="L352" s="3">
        <v>300</v>
      </c>
      <c r="M352" s="3">
        <v>165</v>
      </c>
      <c r="N352" s="3" t="s">
        <v>35</v>
      </c>
      <c r="O352" s="3" t="str">
        <f t="shared" si="5"/>
        <v>NO</v>
      </c>
      <c r="P352" s="3" t="s">
        <v>269</v>
      </c>
      <c r="Q352" s="3" t="s">
        <v>15</v>
      </c>
    </row>
    <row r="353" spans="1:17" x14ac:dyDescent="0.25">
      <c r="A353" s="2">
        <v>45853</v>
      </c>
      <c r="B353" s="2" t="s">
        <v>501</v>
      </c>
      <c r="C353" s="2" t="s">
        <v>493</v>
      </c>
      <c r="D353" s="3" t="s">
        <v>32</v>
      </c>
      <c r="E353" s="3" t="s">
        <v>39</v>
      </c>
      <c r="F353" s="3" t="s">
        <v>24</v>
      </c>
      <c r="G353" s="3" t="s">
        <v>42</v>
      </c>
      <c r="H353" s="3">
        <v>2</v>
      </c>
      <c r="I353" s="4">
        <v>90</v>
      </c>
      <c r="J353" s="3">
        <v>200</v>
      </c>
      <c r="K353" s="3">
        <v>0</v>
      </c>
      <c r="L353" s="3">
        <v>400</v>
      </c>
      <c r="M353" s="3">
        <v>220</v>
      </c>
      <c r="N353" s="3" t="s">
        <v>35</v>
      </c>
      <c r="O353" s="3" t="str">
        <f t="shared" si="5"/>
        <v>NO</v>
      </c>
      <c r="P353" s="3" t="s">
        <v>340</v>
      </c>
      <c r="Q353" s="3" t="s">
        <v>61</v>
      </c>
    </row>
    <row r="354" spans="1:17" x14ac:dyDescent="0.25">
      <c r="A354" s="2">
        <v>45872</v>
      </c>
      <c r="B354" s="2" t="s">
        <v>495</v>
      </c>
      <c r="C354" s="2" t="s">
        <v>488</v>
      </c>
      <c r="D354" s="3" t="s">
        <v>9</v>
      </c>
      <c r="E354" s="3" t="s">
        <v>70</v>
      </c>
      <c r="F354" s="3" t="s">
        <v>29</v>
      </c>
      <c r="G354" s="3" t="s">
        <v>54</v>
      </c>
      <c r="H354" s="3">
        <v>1</v>
      </c>
      <c r="I354" s="4">
        <v>20</v>
      </c>
      <c r="J354" s="3">
        <v>150</v>
      </c>
      <c r="K354" s="3">
        <v>0</v>
      </c>
      <c r="L354" s="3">
        <v>150</v>
      </c>
      <c r="M354" s="3">
        <v>130</v>
      </c>
      <c r="N354" s="3" t="s">
        <v>13</v>
      </c>
      <c r="O354" s="3" t="str">
        <f t="shared" si="5"/>
        <v>NO</v>
      </c>
      <c r="P354" s="3" t="s">
        <v>159</v>
      </c>
      <c r="Q354" s="3" t="s">
        <v>21</v>
      </c>
    </row>
    <row r="355" spans="1:17" x14ac:dyDescent="0.25">
      <c r="A355" s="2">
        <v>45692</v>
      </c>
      <c r="B355" s="2" t="s">
        <v>500</v>
      </c>
      <c r="C355" s="2" t="s">
        <v>493</v>
      </c>
      <c r="D355" s="3" t="s">
        <v>38</v>
      </c>
      <c r="E355" s="3" t="s">
        <v>70</v>
      </c>
      <c r="F355" s="3" t="s">
        <v>29</v>
      </c>
      <c r="G355" s="3" t="s">
        <v>83</v>
      </c>
      <c r="H355" s="3">
        <v>2</v>
      </c>
      <c r="I355" s="4">
        <v>100</v>
      </c>
      <c r="J355" s="3">
        <v>50</v>
      </c>
      <c r="K355" s="3">
        <v>5</v>
      </c>
      <c r="L355" s="3">
        <v>95</v>
      </c>
      <c r="M355" s="3">
        <v>-105</v>
      </c>
      <c r="N355" s="3" t="s">
        <v>35</v>
      </c>
      <c r="O355" s="3" t="str">
        <f t="shared" si="5"/>
        <v>YES</v>
      </c>
      <c r="P355" s="3" t="s">
        <v>341</v>
      </c>
      <c r="Q355" s="3" t="s">
        <v>21</v>
      </c>
    </row>
    <row r="356" spans="1:17" x14ac:dyDescent="0.25">
      <c r="A356" s="2">
        <v>45938</v>
      </c>
      <c r="B356" s="2" t="s">
        <v>499</v>
      </c>
      <c r="C356" s="2" t="s">
        <v>487</v>
      </c>
      <c r="D356" s="3" t="s">
        <v>32</v>
      </c>
      <c r="E356" s="3" t="s">
        <v>28</v>
      </c>
      <c r="F356" s="3" t="s">
        <v>24</v>
      </c>
      <c r="G356" s="3" t="s">
        <v>81</v>
      </c>
      <c r="H356" s="3">
        <v>5</v>
      </c>
      <c r="I356" s="4">
        <v>112.5</v>
      </c>
      <c r="J356" s="3">
        <v>250</v>
      </c>
      <c r="K356" s="3">
        <v>10</v>
      </c>
      <c r="L356" s="3">
        <v>1125</v>
      </c>
      <c r="M356" s="3">
        <v>562.5</v>
      </c>
      <c r="N356" s="3" t="s">
        <v>19</v>
      </c>
      <c r="O356" s="3" t="str">
        <f t="shared" si="5"/>
        <v>YES</v>
      </c>
      <c r="P356" s="3" t="s">
        <v>342</v>
      </c>
      <c r="Q356" s="3" t="s">
        <v>37</v>
      </c>
    </row>
    <row r="357" spans="1:17" x14ac:dyDescent="0.25">
      <c r="A357" s="2">
        <v>45754</v>
      </c>
      <c r="B357" s="2" t="s">
        <v>486</v>
      </c>
      <c r="C357" s="2" t="s">
        <v>491</v>
      </c>
      <c r="D357" s="3" t="s">
        <v>27</v>
      </c>
      <c r="E357" s="3" t="s">
        <v>70</v>
      </c>
      <c r="F357" s="3" t="s">
        <v>17</v>
      </c>
      <c r="G357" s="3" t="s">
        <v>77</v>
      </c>
      <c r="H357" s="3">
        <v>1</v>
      </c>
      <c r="I357" s="4">
        <v>30</v>
      </c>
      <c r="J357" s="3">
        <v>150</v>
      </c>
      <c r="K357" s="3">
        <v>0</v>
      </c>
      <c r="L357" s="3">
        <v>150</v>
      </c>
      <c r="M357" s="3">
        <v>120</v>
      </c>
      <c r="N357" s="3" t="s">
        <v>13</v>
      </c>
      <c r="O357" s="3" t="str">
        <f t="shared" si="5"/>
        <v>NO</v>
      </c>
      <c r="P357" s="3" t="s">
        <v>343</v>
      </c>
      <c r="Q357" s="3" t="s">
        <v>21</v>
      </c>
    </row>
    <row r="358" spans="1:17" x14ac:dyDescent="0.25">
      <c r="A358" s="2">
        <v>45809</v>
      </c>
      <c r="B358" s="2" t="s">
        <v>497</v>
      </c>
      <c r="C358" s="2" t="s">
        <v>488</v>
      </c>
      <c r="D358" s="3" t="s">
        <v>27</v>
      </c>
      <c r="E358" s="3" t="s">
        <v>39</v>
      </c>
      <c r="F358" s="3" t="s">
        <v>24</v>
      </c>
      <c r="G358" s="3" t="s">
        <v>81</v>
      </c>
      <c r="H358" s="3">
        <v>1</v>
      </c>
      <c r="I358" s="4">
        <v>67.5</v>
      </c>
      <c r="J358" s="3">
        <v>150</v>
      </c>
      <c r="K358" s="3">
        <v>10</v>
      </c>
      <c r="L358" s="3">
        <v>135</v>
      </c>
      <c r="M358" s="3">
        <v>67.5</v>
      </c>
      <c r="N358" s="3" t="s">
        <v>35</v>
      </c>
      <c r="O358" s="3" t="str">
        <f t="shared" si="5"/>
        <v>YES</v>
      </c>
      <c r="P358" s="3" t="s">
        <v>217</v>
      </c>
      <c r="Q358" s="3" t="s">
        <v>21</v>
      </c>
    </row>
    <row r="359" spans="1:17" x14ac:dyDescent="0.25">
      <c r="A359" s="2">
        <v>45997</v>
      </c>
      <c r="B359" s="2" t="s">
        <v>498</v>
      </c>
      <c r="C359" s="2" t="s">
        <v>490</v>
      </c>
      <c r="D359" s="3" t="s">
        <v>38</v>
      </c>
      <c r="E359" s="3" t="s">
        <v>23</v>
      </c>
      <c r="F359" s="3" t="s">
        <v>33</v>
      </c>
      <c r="G359" s="3" t="s">
        <v>34</v>
      </c>
      <c r="H359" s="3">
        <v>3</v>
      </c>
      <c r="I359" s="4">
        <v>112.5</v>
      </c>
      <c r="J359" s="3">
        <v>200</v>
      </c>
      <c r="K359" s="3">
        <v>20</v>
      </c>
      <c r="L359" s="3">
        <v>480</v>
      </c>
      <c r="M359" s="3">
        <v>142.5</v>
      </c>
      <c r="N359" s="3" t="s">
        <v>35</v>
      </c>
      <c r="O359" s="3" t="str">
        <f t="shared" si="5"/>
        <v>YES</v>
      </c>
      <c r="P359" s="3" t="s">
        <v>344</v>
      </c>
      <c r="Q359" s="3" t="s">
        <v>37</v>
      </c>
    </row>
    <row r="360" spans="1:17" x14ac:dyDescent="0.25">
      <c r="A360" s="2">
        <v>45879</v>
      </c>
      <c r="B360" s="2" t="s">
        <v>495</v>
      </c>
      <c r="C360" s="2" t="s">
        <v>488</v>
      </c>
      <c r="D360" s="3" t="s">
        <v>9</v>
      </c>
      <c r="E360" s="3" t="s">
        <v>58</v>
      </c>
      <c r="F360" s="3" t="s">
        <v>11</v>
      </c>
      <c r="G360" s="3" t="s">
        <v>105</v>
      </c>
      <c r="H360" s="3">
        <v>2</v>
      </c>
      <c r="I360" s="4">
        <v>75</v>
      </c>
      <c r="J360" s="3">
        <v>250</v>
      </c>
      <c r="K360" s="3">
        <v>20</v>
      </c>
      <c r="L360" s="3">
        <v>400</v>
      </c>
      <c r="M360" s="3">
        <v>250</v>
      </c>
      <c r="N360" s="3" t="s">
        <v>13</v>
      </c>
      <c r="O360" s="3" t="str">
        <f t="shared" si="5"/>
        <v>YES</v>
      </c>
      <c r="P360" s="3" t="s">
        <v>345</v>
      </c>
      <c r="Q360" s="3" t="s">
        <v>15</v>
      </c>
    </row>
    <row r="361" spans="1:17" x14ac:dyDescent="0.25">
      <c r="A361" s="2">
        <v>45829</v>
      </c>
      <c r="B361" s="2" t="s">
        <v>497</v>
      </c>
      <c r="C361" s="2" t="s">
        <v>490</v>
      </c>
      <c r="D361" s="3" t="s">
        <v>22</v>
      </c>
      <c r="E361" s="3" t="s">
        <v>58</v>
      </c>
      <c r="F361" s="3" t="s">
        <v>33</v>
      </c>
      <c r="G361" s="3" t="s">
        <v>88</v>
      </c>
      <c r="H361" s="3">
        <v>3</v>
      </c>
      <c r="I361" s="4">
        <v>90</v>
      </c>
      <c r="J361" s="3">
        <v>150</v>
      </c>
      <c r="K361" s="3">
        <v>20</v>
      </c>
      <c r="L361" s="3">
        <v>360</v>
      </c>
      <c r="M361" s="3">
        <v>90</v>
      </c>
      <c r="N361" s="3" t="s">
        <v>13</v>
      </c>
      <c r="O361" s="3" t="str">
        <f t="shared" si="5"/>
        <v>YES</v>
      </c>
      <c r="P361" s="3" t="s">
        <v>346</v>
      </c>
      <c r="Q361" s="3" t="s">
        <v>37</v>
      </c>
    </row>
    <row r="362" spans="1:17" x14ac:dyDescent="0.25">
      <c r="A362" s="2">
        <v>45736</v>
      </c>
      <c r="B362" s="2" t="s">
        <v>494</v>
      </c>
      <c r="C362" s="2" t="s">
        <v>496</v>
      </c>
      <c r="D362" s="3" t="s">
        <v>32</v>
      </c>
      <c r="E362" s="3" t="s">
        <v>58</v>
      </c>
      <c r="F362" s="3" t="s">
        <v>24</v>
      </c>
      <c r="G362" s="3" t="s">
        <v>71</v>
      </c>
      <c r="H362" s="3">
        <v>3</v>
      </c>
      <c r="I362" s="4">
        <v>90</v>
      </c>
      <c r="J362" s="3">
        <v>200</v>
      </c>
      <c r="K362" s="3">
        <v>15</v>
      </c>
      <c r="L362" s="3">
        <v>510</v>
      </c>
      <c r="M362" s="3">
        <v>240</v>
      </c>
      <c r="N362" s="3" t="s">
        <v>19</v>
      </c>
      <c r="O362" s="3" t="str">
        <f t="shared" si="5"/>
        <v>YES</v>
      </c>
      <c r="P362" s="3" t="s">
        <v>347</v>
      </c>
      <c r="Q362" s="3" t="s">
        <v>61</v>
      </c>
    </row>
    <row r="363" spans="1:17" x14ac:dyDescent="0.25">
      <c r="A363" s="2">
        <v>45682</v>
      </c>
      <c r="B363" s="2" t="s">
        <v>489</v>
      </c>
      <c r="C363" s="2" t="s">
        <v>490</v>
      </c>
      <c r="D363" s="3" t="s">
        <v>32</v>
      </c>
      <c r="E363" s="3" t="s">
        <v>16</v>
      </c>
      <c r="F363" s="3" t="s">
        <v>29</v>
      </c>
      <c r="G363" s="3" t="s">
        <v>47</v>
      </c>
      <c r="H363" s="3">
        <v>2</v>
      </c>
      <c r="I363" s="4">
        <v>20</v>
      </c>
      <c r="J363" s="3">
        <v>200</v>
      </c>
      <c r="K363" s="3">
        <v>20</v>
      </c>
      <c r="L363" s="3">
        <v>320</v>
      </c>
      <c r="M363" s="3">
        <v>280</v>
      </c>
      <c r="N363" s="3" t="s">
        <v>35</v>
      </c>
      <c r="O363" s="3" t="str">
        <f t="shared" si="5"/>
        <v>YES</v>
      </c>
      <c r="P363" s="3" t="s">
        <v>123</v>
      </c>
      <c r="Q363" s="3" t="s">
        <v>15</v>
      </c>
    </row>
    <row r="364" spans="1:17" x14ac:dyDescent="0.25">
      <c r="A364" s="2">
        <v>45677</v>
      </c>
      <c r="B364" s="2" t="s">
        <v>489</v>
      </c>
      <c r="C364" s="2" t="s">
        <v>491</v>
      </c>
      <c r="D364" s="3" t="s">
        <v>22</v>
      </c>
      <c r="E364" s="3" t="s">
        <v>16</v>
      </c>
      <c r="F364" s="3" t="s">
        <v>29</v>
      </c>
      <c r="G364" s="3" t="s">
        <v>83</v>
      </c>
      <c r="H364" s="3">
        <v>2</v>
      </c>
      <c r="I364" s="4">
        <v>40</v>
      </c>
      <c r="J364" s="3">
        <v>50</v>
      </c>
      <c r="K364" s="3">
        <v>15</v>
      </c>
      <c r="L364" s="3">
        <v>85</v>
      </c>
      <c r="M364" s="3">
        <v>5</v>
      </c>
      <c r="N364" s="3" t="s">
        <v>19</v>
      </c>
      <c r="O364" s="3" t="str">
        <f t="shared" si="5"/>
        <v>YES</v>
      </c>
      <c r="P364" s="3" t="s">
        <v>200</v>
      </c>
      <c r="Q364" s="3" t="s">
        <v>61</v>
      </c>
    </row>
    <row r="365" spans="1:17" x14ac:dyDescent="0.25">
      <c r="A365" s="2">
        <v>45939</v>
      </c>
      <c r="B365" s="2" t="s">
        <v>499</v>
      </c>
      <c r="C365" s="2" t="s">
        <v>496</v>
      </c>
      <c r="D365" s="3" t="s">
        <v>22</v>
      </c>
      <c r="E365" s="3" t="s">
        <v>39</v>
      </c>
      <c r="F365" s="3" t="s">
        <v>33</v>
      </c>
      <c r="G365" s="3" t="s">
        <v>88</v>
      </c>
      <c r="H365" s="3">
        <v>2</v>
      </c>
      <c r="I365" s="4">
        <v>67.5</v>
      </c>
      <c r="J365" s="3">
        <v>100</v>
      </c>
      <c r="K365" s="3">
        <v>20</v>
      </c>
      <c r="L365" s="3">
        <v>160</v>
      </c>
      <c r="M365" s="3">
        <v>25</v>
      </c>
      <c r="N365" s="3" t="s">
        <v>13</v>
      </c>
      <c r="O365" s="3" t="str">
        <f t="shared" si="5"/>
        <v>YES</v>
      </c>
      <c r="P365" s="3" t="s">
        <v>348</v>
      </c>
      <c r="Q365" s="3" t="s">
        <v>41</v>
      </c>
    </row>
    <row r="366" spans="1:17" x14ac:dyDescent="0.25">
      <c r="A366" s="2">
        <v>45742</v>
      </c>
      <c r="B366" s="2" t="s">
        <v>494</v>
      </c>
      <c r="C366" s="2" t="s">
        <v>487</v>
      </c>
      <c r="D366" s="3" t="s">
        <v>9</v>
      </c>
      <c r="E366" s="3" t="s">
        <v>16</v>
      </c>
      <c r="F366" s="3" t="s">
        <v>17</v>
      </c>
      <c r="G366" s="3" t="s">
        <v>68</v>
      </c>
      <c r="H366" s="3">
        <v>10</v>
      </c>
      <c r="I366" s="4">
        <v>30</v>
      </c>
      <c r="J366" s="3">
        <v>150</v>
      </c>
      <c r="K366" s="3">
        <v>15</v>
      </c>
      <c r="L366" s="3">
        <v>1275</v>
      </c>
      <c r="M366" s="3">
        <v>975</v>
      </c>
      <c r="N366" s="3" t="s">
        <v>13</v>
      </c>
      <c r="O366" s="3" t="str">
        <f t="shared" si="5"/>
        <v>YES</v>
      </c>
      <c r="P366" s="3" t="s">
        <v>349</v>
      </c>
      <c r="Q366" s="3" t="s">
        <v>45</v>
      </c>
    </row>
    <row r="367" spans="1:17" x14ac:dyDescent="0.25">
      <c r="A367" s="2">
        <v>45981</v>
      </c>
      <c r="B367" s="2" t="s">
        <v>485</v>
      </c>
      <c r="C367" s="2" t="s">
        <v>496</v>
      </c>
      <c r="D367" s="3" t="s">
        <v>22</v>
      </c>
      <c r="E367" s="3" t="s">
        <v>58</v>
      </c>
      <c r="F367" s="3" t="s">
        <v>24</v>
      </c>
      <c r="G367" s="3" t="s">
        <v>42</v>
      </c>
      <c r="H367" s="3">
        <v>1</v>
      </c>
      <c r="I367" s="4">
        <v>67.5</v>
      </c>
      <c r="J367" s="3">
        <v>150</v>
      </c>
      <c r="K367" s="3">
        <v>0</v>
      </c>
      <c r="L367" s="3">
        <v>150</v>
      </c>
      <c r="M367" s="3">
        <v>82.5</v>
      </c>
      <c r="N367" s="3" t="s">
        <v>19</v>
      </c>
      <c r="O367" s="3" t="str">
        <f t="shared" si="5"/>
        <v>NO</v>
      </c>
      <c r="P367" s="3" t="s">
        <v>341</v>
      </c>
      <c r="Q367" s="3" t="s">
        <v>21</v>
      </c>
    </row>
    <row r="368" spans="1:17" x14ac:dyDescent="0.25">
      <c r="A368" s="2">
        <v>45775</v>
      </c>
      <c r="B368" s="2" t="s">
        <v>486</v>
      </c>
      <c r="C368" s="2" t="s">
        <v>491</v>
      </c>
      <c r="D368" s="3" t="s">
        <v>22</v>
      </c>
      <c r="E368" s="3" t="s">
        <v>10</v>
      </c>
      <c r="F368" s="3" t="s">
        <v>11</v>
      </c>
      <c r="G368" s="3" t="s">
        <v>12</v>
      </c>
      <c r="H368" s="3">
        <v>10</v>
      </c>
      <c r="I368" s="4">
        <v>45</v>
      </c>
      <c r="J368" s="3">
        <v>150</v>
      </c>
      <c r="K368" s="3">
        <v>15</v>
      </c>
      <c r="L368" s="3">
        <v>1275</v>
      </c>
      <c r="M368" s="3">
        <v>825</v>
      </c>
      <c r="N368" s="3" t="s">
        <v>13</v>
      </c>
      <c r="O368" s="3" t="str">
        <f t="shared" si="5"/>
        <v>YES</v>
      </c>
      <c r="P368" s="3" t="s">
        <v>350</v>
      </c>
      <c r="Q368" s="3" t="s">
        <v>15</v>
      </c>
    </row>
    <row r="369" spans="1:17" x14ac:dyDescent="0.25">
      <c r="A369" s="2">
        <v>45678</v>
      </c>
      <c r="B369" s="2" t="s">
        <v>489</v>
      </c>
      <c r="C369" s="2" t="s">
        <v>493</v>
      </c>
      <c r="D369" s="3" t="s">
        <v>27</v>
      </c>
      <c r="E369" s="3" t="s">
        <v>28</v>
      </c>
      <c r="F369" s="3" t="s">
        <v>33</v>
      </c>
      <c r="G369" s="3" t="s">
        <v>79</v>
      </c>
      <c r="H369" s="3">
        <v>2</v>
      </c>
      <c r="I369" s="4">
        <v>90</v>
      </c>
      <c r="J369" s="3">
        <v>50</v>
      </c>
      <c r="K369" s="3">
        <v>15</v>
      </c>
      <c r="L369" s="3">
        <v>85</v>
      </c>
      <c r="M369" s="3">
        <v>-95</v>
      </c>
      <c r="N369" s="3" t="s">
        <v>19</v>
      </c>
      <c r="O369" s="3" t="str">
        <f t="shared" si="5"/>
        <v>YES</v>
      </c>
      <c r="P369" s="3" t="s">
        <v>351</v>
      </c>
      <c r="Q369" s="3" t="s">
        <v>15</v>
      </c>
    </row>
    <row r="370" spans="1:17" x14ac:dyDescent="0.25">
      <c r="A370" s="2">
        <v>45976</v>
      </c>
      <c r="B370" s="2" t="s">
        <v>485</v>
      </c>
      <c r="C370" s="2" t="s">
        <v>490</v>
      </c>
      <c r="D370" s="3" t="s">
        <v>22</v>
      </c>
      <c r="E370" s="3" t="s">
        <v>58</v>
      </c>
      <c r="F370" s="3" t="s">
        <v>17</v>
      </c>
      <c r="G370" s="3" t="s">
        <v>68</v>
      </c>
      <c r="H370" s="3">
        <v>5</v>
      </c>
      <c r="I370" s="4">
        <v>40</v>
      </c>
      <c r="J370" s="3">
        <v>200</v>
      </c>
      <c r="K370" s="3">
        <v>0</v>
      </c>
      <c r="L370" s="3">
        <v>1000</v>
      </c>
      <c r="M370" s="3">
        <v>800</v>
      </c>
      <c r="N370" s="3" t="s">
        <v>13</v>
      </c>
      <c r="O370" s="3" t="str">
        <f t="shared" si="5"/>
        <v>NO</v>
      </c>
      <c r="P370" s="3" t="s">
        <v>100</v>
      </c>
      <c r="Q370" s="3" t="s">
        <v>41</v>
      </c>
    </row>
    <row r="371" spans="1:17" x14ac:dyDescent="0.25">
      <c r="A371" s="2">
        <v>45766</v>
      </c>
      <c r="B371" s="2" t="s">
        <v>486</v>
      </c>
      <c r="C371" s="2" t="s">
        <v>490</v>
      </c>
      <c r="D371" s="3" t="s">
        <v>38</v>
      </c>
      <c r="E371" s="3" t="s">
        <v>23</v>
      </c>
      <c r="F371" s="3" t="s">
        <v>24</v>
      </c>
      <c r="G371" s="3" t="s">
        <v>25</v>
      </c>
      <c r="H371" s="3">
        <v>3</v>
      </c>
      <c r="I371" s="4">
        <v>45</v>
      </c>
      <c r="J371" s="3">
        <v>100</v>
      </c>
      <c r="K371" s="3">
        <v>5</v>
      </c>
      <c r="L371" s="3">
        <v>285</v>
      </c>
      <c r="M371" s="3">
        <v>150</v>
      </c>
      <c r="N371" s="3" t="s">
        <v>13</v>
      </c>
      <c r="O371" s="3" t="str">
        <f t="shared" si="5"/>
        <v>YES</v>
      </c>
      <c r="P371" s="3" t="s">
        <v>352</v>
      </c>
      <c r="Q371" s="3" t="s">
        <v>21</v>
      </c>
    </row>
    <row r="372" spans="1:17" x14ac:dyDescent="0.25">
      <c r="A372" s="2">
        <v>45963</v>
      </c>
      <c r="B372" s="2" t="s">
        <v>485</v>
      </c>
      <c r="C372" s="2" t="s">
        <v>488</v>
      </c>
      <c r="D372" s="3" t="s">
        <v>32</v>
      </c>
      <c r="E372" s="3" t="s">
        <v>39</v>
      </c>
      <c r="F372" s="3" t="s">
        <v>33</v>
      </c>
      <c r="G372" s="3" t="s">
        <v>63</v>
      </c>
      <c r="H372" s="3">
        <v>1</v>
      </c>
      <c r="I372" s="4">
        <v>45</v>
      </c>
      <c r="J372" s="3">
        <v>150</v>
      </c>
      <c r="K372" s="3">
        <v>0</v>
      </c>
      <c r="L372" s="3">
        <v>150</v>
      </c>
      <c r="M372" s="3">
        <v>105</v>
      </c>
      <c r="N372" s="3" t="s">
        <v>35</v>
      </c>
      <c r="O372" s="3" t="str">
        <f t="shared" si="5"/>
        <v>NO</v>
      </c>
      <c r="P372" s="3" t="s">
        <v>189</v>
      </c>
      <c r="Q372" s="3" t="s">
        <v>45</v>
      </c>
    </row>
    <row r="373" spans="1:17" x14ac:dyDescent="0.25">
      <c r="A373" s="2">
        <v>45954</v>
      </c>
      <c r="B373" s="2" t="s">
        <v>499</v>
      </c>
      <c r="C373" s="2" t="s">
        <v>484</v>
      </c>
      <c r="D373" s="3" t="s">
        <v>38</v>
      </c>
      <c r="E373" s="3" t="s">
        <v>23</v>
      </c>
      <c r="F373" s="3" t="s">
        <v>29</v>
      </c>
      <c r="G373" s="3" t="s">
        <v>30</v>
      </c>
      <c r="H373" s="3">
        <v>2</v>
      </c>
      <c r="I373" s="4">
        <v>40</v>
      </c>
      <c r="J373" s="3">
        <v>100</v>
      </c>
      <c r="K373" s="3">
        <v>5</v>
      </c>
      <c r="L373" s="3">
        <v>190</v>
      </c>
      <c r="M373" s="3">
        <v>110</v>
      </c>
      <c r="N373" s="3" t="s">
        <v>35</v>
      </c>
      <c r="O373" s="3" t="str">
        <f t="shared" si="5"/>
        <v>YES</v>
      </c>
      <c r="P373" s="3" t="s">
        <v>353</v>
      </c>
      <c r="Q373" s="3" t="s">
        <v>37</v>
      </c>
    </row>
    <row r="374" spans="1:17" x14ac:dyDescent="0.25">
      <c r="A374" s="2">
        <v>45819</v>
      </c>
      <c r="B374" s="2" t="s">
        <v>497</v>
      </c>
      <c r="C374" s="2" t="s">
        <v>487</v>
      </c>
      <c r="D374" s="3" t="s">
        <v>32</v>
      </c>
      <c r="E374" s="3" t="s">
        <v>10</v>
      </c>
      <c r="F374" s="3" t="s">
        <v>17</v>
      </c>
      <c r="G374" s="3" t="s">
        <v>107</v>
      </c>
      <c r="H374" s="3">
        <v>5</v>
      </c>
      <c r="I374" s="4">
        <v>20</v>
      </c>
      <c r="J374" s="3">
        <v>100</v>
      </c>
      <c r="K374" s="3">
        <v>0</v>
      </c>
      <c r="L374" s="3">
        <v>500</v>
      </c>
      <c r="M374" s="3">
        <v>400</v>
      </c>
      <c r="N374" s="3" t="s">
        <v>19</v>
      </c>
      <c r="O374" s="3" t="str">
        <f t="shared" si="5"/>
        <v>NO</v>
      </c>
      <c r="P374" s="3" t="s">
        <v>74</v>
      </c>
      <c r="Q374" s="3" t="s">
        <v>41</v>
      </c>
    </row>
    <row r="375" spans="1:17" x14ac:dyDescent="0.25">
      <c r="A375" s="2">
        <v>45870</v>
      </c>
      <c r="B375" s="2" t="s">
        <v>495</v>
      </c>
      <c r="C375" s="2" t="s">
        <v>484</v>
      </c>
      <c r="D375" s="3" t="s">
        <v>9</v>
      </c>
      <c r="E375" s="3" t="s">
        <v>58</v>
      </c>
      <c r="F375" s="3" t="s">
        <v>11</v>
      </c>
      <c r="G375" s="3" t="s">
        <v>59</v>
      </c>
      <c r="H375" s="3">
        <v>1</v>
      </c>
      <c r="I375" s="4">
        <v>45</v>
      </c>
      <c r="J375" s="3">
        <v>150</v>
      </c>
      <c r="K375" s="3">
        <v>5</v>
      </c>
      <c r="L375" s="3">
        <v>142.5</v>
      </c>
      <c r="M375" s="3">
        <v>97.5</v>
      </c>
      <c r="N375" s="3" t="s">
        <v>35</v>
      </c>
      <c r="O375" s="3" t="str">
        <f t="shared" si="5"/>
        <v>YES</v>
      </c>
      <c r="P375" s="3" t="s">
        <v>354</v>
      </c>
      <c r="Q375" s="3" t="s">
        <v>45</v>
      </c>
    </row>
    <row r="376" spans="1:17" x14ac:dyDescent="0.25">
      <c r="A376" s="2">
        <v>45935</v>
      </c>
      <c r="B376" s="2" t="s">
        <v>499</v>
      </c>
      <c r="C376" s="2" t="s">
        <v>488</v>
      </c>
      <c r="D376" s="3" t="s">
        <v>22</v>
      </c>
      <c r="E376" s="3" t="s">
        <v>39</v>
      </c>
      <c r="F376" s="3" t="s">
        <v>17</v>
      </c>
      <c r="G376" s="3" t="s">
        <v>18</v>
      </c>
      <c r="H376" s="3">
        <v>3</v>
      </c>
      <c r="I376" s="4">
        <v>30</v>
      </c>
      <c r="J376" s="3">
        <v>150</v>
      </c>
      <c r="K376" s="3">
        <v>0</v>
      </c>
      <c r="L376" s="3">
        <v>450</v>
      </c>
      <c r="M376" s="3">
        <v>360</v>
      </c>
      <c r="N376" s="3" t="s">
        <v>13</v>
      </c>
      <c r="O376" s="3" t="str">
        <f t="shared" si="5"/>
        <v>NO</v>
      </c>
      <c r="P376" s="3" t="s">
        <v>355</v>
      </c>
      <c r="Q376" s="3" t="s">
        <v>61</v>
      </c>
    </row>
    <row r="377" spans="1:17" x14ac:dyDescent="0.25">
      <c r="A377" s="2">
        <v>46012</v>
      </c>
      <c r="B377" s="2" t="s">
        <v>498</v>
      </c>
      <c r="C377" s="2" t="s">
        <v>488</v>
      </c>
      <c r="D377" s="3" t="s">
        <v>9</v>
      </c>
      <c r="E377" s="3" t="s">
        <v>23</v>
      </c>
      <c r="F377" s="3" t="s">
        <v>17</v>
      </c>
      <c r="G377" s="3" t="s">
        <v>77</v>
      </c>
      <c r="H377" s="3">
        <v>2</v>
      </c>
      <c r="I377" s="4">
        <v>30</v>
      </c>
      <c r="J377" s="3">
        <v>150</v>
      </c>
      <c r="K377" s="3">
        <v>20</v>
      </c>
      <c r="L377" s="3">
        <v>240</v>
      </c>
      <c r="M377" s="3">
        <v>180</v>
      </c>
      <c r="N377" s="3" t="s">
        <v>13</v>
      </c>
      <c r="O377" s="3" t="str">
        <f t="shared" si="5"/>
        <v>YES</v>
      </c>
      <c r="P377" s="3" t="s">
        <v>356</v>
      </c>
      <c r="Q377" s="3" t="s">
        <v>15</v>
      </c>
    </row>
    <row r="378" spans="1:17" x14ac:dyDescent="0.25">
      <c r="A378" s="2">
        <v>45896</v>
      </c>
      <c r="B378" s="2" t="s">
        <v>495</v>
      </c>
      <c r="C378" s="2" t="s">
        <v>487</v>
      </c>
      <c r="D378" s="3" t="s">
        <v>9</v>
      </c>
      <c r="E378" s="3" t="s">
        <v>70</v>
      </c>
      <c r="F378" s="3" t="s">
        <v>33</v>
      </c>
      <c r="G378" s="3" t="s">
        <v>88</v>
      </c>
      <c r="H378" s="3">
        <v>1</v>
      </c>
      <c r="I378" s="4">
        <v>90</v>
      </c>
      <c r="J378" s="3">
        <v>50</v>
      </c>
      <c r="K378" s="3">
        <v>20</v>
      </c>
      <c r="L378" s="3">
        <v>40</v>
      </c>
      <c r="M378" s="3">
        <v>-50</v>
      </c>
      <c r="N378" s="3" t="s">
        <v>13</v>
      </c>
      <c r="O378" s="3" t="str">
        <f t="shared" si="5"/>
        <v>YES</v>
      </c>
      <c r="P378" s="3" t="s">
        <v>357</v>
      </c>
      <c r="Q378" s="3" t="s">
        <v>21</v>
      </c>
    </row>
    <row r="379" spans="1:17" x14ac:dyDescent="0.25">
      <c r="A379" s="2">
        <v>45952</v>
      </c>
      <c r="B379" s="2" t="s">
        <v>499</v>
      </c>
      <c r="C379" s="2" t="s">
        <v>487</v>
      </c>
      <c r="D379" s="3" t="s">
        <v>9</v>
      </c>
      <c r="E379" s="3" t="s">
        <v>16</v>
      </c>
      <c r="F379" s="3" t="s">
        <v>24</v>
      </c>
      <c r="G379" s="3" t="s">
        <v>42</v>
      </c>
      <c r="H379" s="3">
        <v>3</v>
      </c>
      <c r="I379" s="4">
        <v>90</v>
      </c>
      <c r="J379" s="3">
        <v>200</v>
      </c>
      <c r="K379" s="3">
        <v>15</v>
      </c>
      <c r="L379" s="3">
        <v>510</v>
      </c>
      <c r="M379" s="3">
        <v>240</v>
      </c>
      <c r="N379" s="3" t="s">
        <v>19</v>
      </c>
      <c r="O379" s="3" t="str">
        <f t="shared" si="5"/>
        <v>YES</v>
      </c>
      <c r="P379" s="3" t="s">
        <v>358</v>
      </c>
      <c r="Q379" s="3" t="s">
        <v>41</v>
      </c>
    </row>
    <row r="380" spans="1:17" x14ac:dyDescent="0.25">
      <c r="A380" s="2">
        <v>45879</v>
      </c>
      <c r="B380" s="2" t="s">
        <v>495</v>
      </c>
      <c r="C380" s="2" t="s">
        <v>488</v>
      </c>
      <c r="D380" s="3" t="s">
        <v>38</v>
      </c>
      <c r="E380" s="3" t="s">
        <v>70</v>
      </c>
      <c r="F380" s="3" t="s">
        <v>29</v>
      </c>
      <c r="G380" s="3" t="s">
        <v>54</v>
      </c>
      <c r="H380" s="3">
        <v>5</v>
      </c>
      <c r="I380" s="4">
        <v>40</v>
      </c>
      <c r="J380" s="3">
        <v>200</v>
      </c>
      <c r="K380" s="3">
        <v>0</v>
      </c>
      <c r="L380" s="3">
        <v>1000</v>
      </c>
      <c r="M380" s="3">
        <v>800</v>
      </c>
      <c r="N380" s="3" t="s">
        <v>35</v>
      </c>
      <c r="O380" s="3" t="str">
        <f t="shared" si="5"/>
        <v>NO</v>
      </c>
      <c r="P380" s="3" t="s">
        <v>247</v>
      </c>
      <c r="Q380" s="3" t="s">
        <v>37</v>
      </c>
    </row>
    <row r="381" spans="1:17" x14ac:dyDescent="0.25">
      <c r="A381" s="2">
        <v>45802</v>
      </c>
      <c r="B381" s="2" t="s">
        <v>492</v>
      </c>
      <c r="C381" s="2" t="s">
        <v>488</v>
      </c>
      <c r="D381" s="3" t="s">
        <v>32</v>
      </c>
      <c r="E381" s="3" t="s">
        <v>58</v>
      </c>
      <c r="F381" s="3" t="s">
        <v>29</v>
      </c>
      <c r="G381" s="3" t="s">
        <v>47</v>
      </c>
      <c r="H381" s="3">
        <v>1</v>
      </c>
      <c r="I381" s="4">
        <v>100</v>
      </c>
      <c r="J381" s="3">
        <v>100</v>
      </c>
      <c r="K381" s="3">
        <v>20</v>
      </c>
      <c r="L381" s="3">
        <v>80</v>
      </c>
      <c r="M381" s="3">
        <v>-20</v>
      </c>
      <c r="N381" s="3" t="s">
        <v>19</v>
      </c>
      <c r="O381" s="3" t="str">
        <f t="shared" si="5"/>
        <v>YES</v>
      </c>
      <c r="P381" s="3" t="s">
        <v>359</v>
      </c>
      <c r="Q381" s="3" t="s">
        <v>61</v>
      </c>
    </row>
    <row r="382" spans="1:17" x14ac:dyDescent="0.25">
      <c r="A382" s="2">
        <v>45901</v>
      </c>
      <c r="B382" s="2" t="s">
        <v>483</v>
      </c>
      <c r="C382" s="2" t="s">
        <v>491</v>
      </c>
      <c r="D382" s="3" t="s">
        <v>9</v>
      </c>
      <c r="E382" s="3" t="s">
        <v>39</v>
      </c>
      <c r="F382" s="3" t="s">
        <v>33</v>
      </c>
      <c r="G382" s="3" t="s">
        <v>50</v>
      </c>
      <c r="H382" s="3">
        <v>10</v>
      </c>
      <c r="I382" s="4">
        <v>67.5</v>
      </c>
      <c r="J382" s="3">
        <v>250</v>
      </c>
      <c r="K382" s="3">
        <v>10</v>
      </c>
      <c r="L382" s="3">
        <v>2250</v>
      </c>
      <c r="M382" s="3">
        <v>1575</v>
      </c>
      <c r="N382" s="3" t="s">
        <v>19</v>
      </c>
      <c r="O382" s="3" t="str">
        <f t="shared" si="5"/>
        <v>YES</v>
      </c>
      <c r="P382" s="3" t="s">
        <v>360</v>
      </c>
      <c r="Q382" s="3" t="s">
        <v>41</v>
      </c>
    </row>
    <row r="383" spans="1:17" x14ac:dyDescent="0.25">
      <c r="A383" s="2">
        <v>45911</v>
      </c>
      <c r="B383" s="2" t="s">
        <v>483</v>
      </c>
      <c r="C383" s="2" t="s">
        <v>496</v>
      </c>
      <c r="D383" s="3" t="s">
        <v>38</v>
      </c>
      <c r="E383" s="3" t="s">
        <v>39</v>
      </c>
      <c r="F383" s="3" t="s">
        <v>17</v>
      </c>
      <c r="G383" s="3" t="s">
        <v>56</v>
      </c>
      <c r="H383" s="3">
        <v>3</v>
      </c>
      <c r="I383" s="4">
        <v>30</v>
      </c>
      <c r="J383" s="3">
        <v>150</v>
      </c>
      <c r="K383" s="3">
        <v>15</v>
      </c>
      <c r="L383" s="3">
        <v>382.5</v>
      </c>
      <c r="M383" s="3">
        <v>292.5</v>
      </c>
      <c r="N383" s="3" t="s">
        <v>35</v>
      </c>
      <c r="O383" s="3" t="str">
        <f t="shared" si="5"/>
        <v>YES</v>
      </c>
      <c r="P383" s="3" t="s">
        <v>239</v>
      </c>
      <c r="Q383" s="3" t="s">
        <v>45</v>
      </c>
    </row>
    <row r="384" spans="1:17" x14ac:dyDescent="0.25">
      <c r="A384" s="2">
        <v>45892</v>
      </c>
      <c r="B384" s="2" t="s">
        <v>495</v>
      </c>
      <c r="C384" s="2" t="s">
        <v>490</v>
      </c>
      <c r="D384" s="3" t="s">
        <v>32</v>
      </c>
      <c r="E384" s="3" t="s">
        <v>39</v>
      </c>
      <c r="F384" s="3" t="s">
        <v>33</v>
      </c>
      <c r="G384" s="3" t="s">
        <v>88</v>
      </c>
      <c r="H384" s="3">
        <v>2</v>
      </c>
      <c r="I384" s="4">
        <v>22.5</v>
      </c>
      <c r="J384" s="3">
        <v>150</v>
      </c>
      <c r="K384" s="3">
        <v>0</v>
      </c>
      <c r="L384" s="3">
        <v>300</v>
      </c>
      <c r="M384" s="3">
        <v>255</v>
      </c>
      <c r="N384" s="3" t="s">
        <v>19</v>
      </c>
      <c r="O384" s="3" t="str">
        <f t="shared" si="5"/>
        <v>NO</v>
      </c>
      <c r="P384" s="3" t="s">
        <v>361</v>
      </c>
      <c r="Q384" s="3" t="s">
        <v>45</v>
      </c>
    </row>
    <row r="385" spans="1:17" x14ac:dyDescent="0.25">
      <c r="A385" s="2">
        <v>45986</v>
      </c>
      <c r="B385" s="2" t="s">
        <v>485</v>
      </c>
      <c r="C385" s="2" t="s">
        <v>493</v>
      </c>
      <c r="D385" s="3" t="s">
        <v>22</v>
      </c>
      <c r="E385" s="3" t="s">
        <v>23</v>
      </c>
      <c r="F385" s="3" t="s">
        <v>17</v>
      </c>
      <c r="G385" s="3" t="s">
        <v>107</v>
      </c>
      <c r="H385" s="3">
        <v>2</v>
      </c>
      <c r="I385" s="4">
        <v>10</v>
      </c>
      <c r="J385" s="3">
        <v>50</v>
      </c>
      <c r="K385" s="3">
        <v>10</v>
      </c>
      <c r="L385" s="3">
        <v>90</v>
      </c>
      <c r="M385" s="3">
        <v>70</v>
      </c>
      <c r="N385" s="3" t="s">
        <v>19</v>
      </c>
      <c r="O385" s="3" t="str">
        <f t="shared" si="5"/>
        <v>YES</v>
      </c>
      <c r="P385" s="3" t="s">
        <v>258</v>
      </c>
      <c r="Q385" s="3" t="s">
        <v>21</v>
      </c>
    </row>
    <row r="386" spans="1:17" x14ac:dyDescent="0.25">
      <c r="A386" s="2">
        <v>45843</v>
      </c>
      <c r="B386" s="2" t="s">
        <v>501</v>
      </c>
      <c r="C386" s="2" t="s">
        <v>490</v>
      </c>
      <c r="D386" s="3" t="s">
        <v>32</v>
      </c>
      <c r="E386" s="3" t="s">
        <v>10</v>
      </c>
      <c r="F386" s="3" t="s">
        <v>24</v>
      </c>
      <c r="G386" s="3" t="s">
        <v>42</v>
      </c>
      <c r="H386" s="3">
        <v>2</v>
      </c>
      <c r="I386" s="4">
        <v>112.5</v>
      </c>
      <c r="J386" s="3">
        <v>250</v>
      </c>
      <c r="K386" s="3">
        <v>5</v>
      </c>
      <c r="L386" s="3">
        <v>475</v>
      </c>
      <c r="M386" s="3">
        <v>250</v>
      </c>
      <c r="N386" s="3" t="s">
        <v>13</v>
      </c>
      <c r="O386" s="3" t="str">
        <f t="shared" si="5"/>
        <v>YES</v>
      </c>
      <c r="P386" s="3" t="s">
        <v>244</v>
      </c>
      <c r="Q386" s="3" t="s">
        <v>15</v>
      </c>
    </row>
    <row r="387" spans="1:17" x14ac:dyDescent="0.25">
      <c r="A387" s="2">
        <v>45894</v>
      </c>
      <c r="B387" s="2" t="s">
        <v>495</v>
      </c>
      <c r="C387" s="2" t="s">
        <v>491</v>
      </c>
      <c r="D387" s="3" t="s">
        <v>32</v>
      </c>
      <c r="E387" s="3" t="s">
        <v>16</v>
      </c>
      <c r="F387" s="3" t="s">
        <v>29</v>
      </c>
      <c r="G387" s="3" t="s">
        <v>83</v>
      </c>
      <c r="H387" s="3">
        <v>2</v>
      </c>
      <c r="I387" s="4">
        <v>60</v>
      </c>
      <c r="J387" s="3">
        <v>200</v>
      </c>
      <c r="K387" s="3">
        <v>10</v>
      </c>
      <c r="L387" s="3">
        <v>360</v>
      </c>
      <c r="M387" s="3">
        <v>240</v>
      </c>
      <c r="N387" s="3" t="s">
        <v>13</v>
      </c>
      <c r="O387" s="3" t="str">
        <f t="shared" ref="O387:O450" si="6">IF(K387&gt;0,"YES","NO")</f>
        <v>YES</v>
      </c>
      <c r="P387" s="3" t="s">
        <v>362</v>
      </c>
      <c r="Q387" s="3" t="s">
        <v>21</v>
      </c>
    </row>
    <row r="388" spans="1:17" x14ac:dyDescent="0.25">
      <c r="A388" s="2">
        <v>45789</v>
      </c>
      <c r="B388" s="2" t="s">
        <v>492</v>
      </c>
      <c r="C388" s="2" t="s">
        <v>491</v>
      </c>
      <c r="D388" s="3" t="s">
        <v>22</v>
      </c>
      <c r="E388" s="3" t="s">
        <v>39</v>
      </c>
      <c r="F388" s="3" t="s">
        <v>17</v>
      </c>
      <c r="G388" s="3" t="s">
        <v>107</v>
      </c>
      <c r="H388" s="3">
        <v>2</v>
      </c>
      <c r="I388" s="4">
        <v>30</v>
      </c>
      <c r="J388" s="3">
        <v>150</v>
      </c>
      <c r="K388" s="3">
        <v>15</v>
      </c>
      <c r="L388" s="3">
        <v>255</v>
      </c>
      <c r="M388" s="3">
        <v>195</v>
      </c>
      <c r="N388" s="3" t="s">
        <v>13</v>
      </c>
      <c r="O388" s="3" t="str">
        <f t="shared" si="6"/>
        <v>YES</v>
      </c>
      <c r="P388" s="3" t="s">
        <v>363</v>
      </c>
      <c r="Q388" s="3" t="s">
        <v>37</v>
      </c>
    </row>
    <row r="389" spans="1:17" x14ac:dyDescent="0.25">
      <c r="A389" s="2">
        <v>45722</v>
      </c>
      <c r="B389" s="2" t="s">
        <v>494</v>
      </c>
      <c r="C389" s="2" t="s">
        <v>496</v>
      </c>
      <c r="D389" s="3" t="s">
        <v>27</v>
      </c>
      <c r="E389" s="3" t="s">
        <v>58</v>
      </c>
      <c r="F389" s="3" t="s">
        <v>33</v>
      </c>
      <c r="G389" s="3" t="s">
        <v>63</v>
      </c>
      <c r="H389" s="3">
        <v>2</v>
      </c>
      <c r="I389" s="4">
        <v>67.5</v>
      </c>
      <c r="J389" s="3">
        <v>200</v>
      </c>
      <c r="K389" s="3">
        <v>0</v>
      </c>
      <c r="L389" s="3">
        <v>400</v>
      </c>
      <c r="M389" s="3">
        <v>265</v>
      </c>
      <c r="N389" s="3" t="s">
        <v>19</v>
      </c>
      <c r="O389" s="3" t="str">
        <f t="shared" si="6"/>
        <v>NO</v>
      </c>
      <c r="P389" s="3" t="s">
        <v>186</v>
      </c>
      <c r="Q389" s="3" t="s">
        <v>15</v>
      </c>
    </row>
    <row r="390" spans="1:17" x14ac:dyDescent="0.25">
      <c r="A390" s="2">
        <v>45684</v>
      </c>
      <c r="B390" s="2" t="s">
        <v>489</v>
      </c>
      <c r="C390" s="2" t="s">
        <v>491</v>
      </c>
      <c r="D390" s="3" t="s">
        <v>38</v>
      </c>
      <c r="E390" s="3" t="s">
        <v>39</v>
      </c>
      <c r="F390" s="3" t="s">
        <v>33</v>
      </c>
      <c r="G390" s="3" t="s">
        <v>50</v>
      </c>
      <c r="H390" s="3">
        <v>2</v>
      </c>
      <c r="I390" s="4">
        <v>45</v>
      </c>
      <c r="J390" s="3">
        <v>150</v>
      </c>
      <c r="K390" s="3">
        <v>15</v>
      </c>
      <c r="L390" s="3">
        <v>255</v>
      </c>
      <c r="M390" s="3">
        <v>165</v>
      </c>
      <c r="N390" s="3" t="s">
        <v>19</v>
      </c>
      <c r="O390" s="3" t="str">
        <f t="shared" si="6"/>
        <v>YES</v>
      </c>
      <c r="P390" s="3" t="s">
        <v>364</v>
      </c>
      <c r="Q390" s="3" t="s">
        <v>15</v>
      </c>
    </row>
    <row r="391" spans="1:17" x14ac:dyDescent="0.25">
      <c r="A391" s="2">
        <v>45973</v>
      </c>
      <c r="B391" s="2" t="s">
        <v>485</v>
      </c>
      <c r="C391" s="2" t="s">
        <v>487</v>
      </c>
      <c r="D391" s="3" t="s">
        <v>27</v>
      </c>
      <c r="E391" s="3" t="s">
        <v>28</v>
      </c>
      <c r="F391" s="3" t="s">
        <v>29</v>
      </c>
      <c r="G391" s="3" t="s">
        <v>83</v>
      </c>
      <c r="H391" s="3">
        <v>2</v>
      </c>
      <c r="I391" s="4">
        <v>60</v>
      </c>
      <c r="J391" s="3">
        <v>100</v>
      </c>
      <c r="K391" s="3">
        <v>15</v>
      </c>
      <c r="L391" s="3">
        <v>170</v>
      </c>
      <c r="M391" s="3">
        <v>50</v>
      </c>
      <c r="N391" s="3" t="s">
        <v>13</v>
      </c>
      <c r="O391" s="3" t="str">
        <f t="shared" si="6"/>
        <v>YES</v>
      </c>
      <c r="P391" s="3" t="s">
        <v>365</v>
      </c>
      <c r="Q391" s="3" t="s">
        <v>45</v>
      </c>
    </row>
    <row r="392" spans="1:17" x14ac:dyDescent="0.25">
      <c r="A392" s="2">
        <v>45941</v>
      </c>
      <c r="B392" s="2" t="s">
        <v>499</v>
      </c>
      <c r="C392" s="2" t="s">
        <v>490</v>
      </c>
      <c r="D392" s="3" t="s">
        <v>32</v>
      </c>
      <c r="E392" s="3" t="s">
        <v>23</v>
      </c>
      <c r="F392" s="3" t="s">
        <v>33</v>
      </c>
      <c r="G392" s="3" t="s">
        <v>88</v>
      </c>
      <c r="H392" s="3">
        <v>1</v>
      </c>
      <c r="I392" s="4">
        <v>67.5</v>
      </c>
      <c r="J392" s="3">
        <v>150</v>
      </c>
      <c r="K392" s="3">
        <v>0</v>
      </c>
      <c r="L392" s="3">
        <v>150</v>
      </c>
      <c r="M392" s="3">
        <v>82.5</v>
      </c>
      <c r="N392" s="3" t="s">
        <v>35</v>
      </c>
      <c r="O392" s="3" t="str">
        <f t="shared" si="6"/>
        <v>NO</v>
      </c>
      <c r="P392" s="3" t="s">
        <v>366</v>
      </c>
      <c r="Q392" s="3" t="s">
        <v>41</v>
      </c>
    </row>
    <row r="393" spans="1:17" x14ac:dyDescent="0.25">
      <c r="A393" s="2">
        <v>45802</v>
      </c>
      <c r="B393" s="2" t="s">
        <v>492</v>
      </c>
      <c r="C393" s="2" t="s">
        <v>488</v>
      </c>
      <c r="D393" s="3" t="s">
        <v>9</v>
      </c>
      <c r="E393" s="3" t="s">
        <v>58</v>
      </c>
      <c r="F393" s="3" t="s">
        <v>17</v>
      </c>
      <c r="G393" s="3" t="s">
        <v>18</v>
      </c>
      <c r="H393" s="3">
        <v>3</v>
      </c>
      <c r="I393" s="4">
        <v>30</v>
      </c>
      <c r="J393" s="3">
        <v>150</v>
      </c>
      <c r="K393" s="3">
        <v>15</v>
      </c>
      <c r="L393" s="3">
        <v>382.5</v>
      </c>
      <c r="M393" s="3">
        <v>292.5</v>
      </c>
      <c r="N393" s="3" t="s">
        <v>19</v>
      </c>
      <c r="O393" s="3" t="str">
        <f t="shared" si="6"/>
        <v>YES</v>
      </c>
      <c r="P393" s="3" t="s">
        <v>367</v>
      </c>
      <c r="Q393" s="3" t="s">
        <v>45</v>
      </c>
    </row>
    <row r="394" spans="1:17" x14ac:dyDescent="0.25">
      <c r="A394" s="2">
        <v>45822</v>
      </c>
      <c r="B394" s="2" t="s">
        <v>497</v>
      </c>
      <c r="C394" s="2" t="s">
        <v>490</v>
      </c>
      <c r="D394" s="3" t="s">
        <v>27</v>
      </c>
      <c r="E394" s="3" t="s">
        <v>10</v>
      </c>
      <c r="F394" s="3" t="s">
        <v>11</v>
      </c>
      <c r="G394" s="3" t="s">
        <v>12</v>
      </c>
      <c r="H394" s="3">
        <v>10</v>
      </c>
      <c r="I394" s="4">
        <v>45</v>
      </c>
      <c r="J394" s="3">
        <v>150</v>
      </c>
      <c r="K394" s="3">
        <v>20</v>
      </c>
      <c r="L394" s="3">
        <v>1200</v>
      </c>
      <c r="M394" s="3">
        <v>750</v>
      </c>
      <c r="N394" s="3" t="s">
        <v>35</v>
      </c>
      <c r="O394" s="3" t="str">
        <f t="shared" si="6"/>
        <v>YES</v>
      </c>
      <c r="P394" s="3" t="s">
        <v>275</v>
      </c>
      <c r="Q394" s="3" t="s">
        <v>45</v>
      </c>
    </row>
    <row r="395" spans="1:17" x14ac:dyDescent="0.25">
      <c r="A395" s="2">
        <v>45681</v>
      </c>
      <c r="B395" s="2" t="s">
        <v>489</v>
      </c>
      <c r="C395" s="2" t="s">
        <v>484</v>
      </c>
      <c r="D395" s="3" t="s">
        <v>9</v>
      </c>
      <c r="E395" s="3" t="s">
        <v>16</v>
      </c>
      <c r="F395" s="3" t="s">
        <v>29</v>
      </c>
      <c r="G395" s="3" t="s">
        <v>30</v>
      </c>
      <c r="H395" s="3">
        <v>2</v>
      </c>
      <c r="I395" s="4">
        <v>40</v>
      </c>
      <c r="J395" s="3">
        <v>200</v>
      </c>
      <c r="K395" s="3">
        <v>0</v>
      </c>
      <c r="L395" s="3">
        <v>400</v>
      </c>
      <c r="M395" s="3">
        <v>320</v>
      </c>
      <c r="N395" s="3" t="s">
        <v>35</v>
      </c>
      <c r="O395" s="3" t="str">
        <f t="shared" si="6"/>
        <v>NO</v>
      </c>
      <c r="P395" s="3" t="s">
        <v>368</v>
      </c>
      <c r="Q395" s="3" t="s">
        <v>37</v>
      </c>
    </row>
    <row r="396" spans="1:17" x14ac:dyDescent="0.25">
      <c r="A396" s="2">
        <v>45973</v>
      </c>
      <c r="B396" s="2" t="s">
        <v>485</v>
      </c>
      <c r="C396" s="2" t="s">
        <v>487</v>
      </c>
      <c r="D396" s="3" t="s">
        <v>27</v>
      </c>
      <c r="E396" s="3" t="s">
        <v>28</v>
      </c>
      <c r="F396" s="3" t="s">
        <v>29</v>
      </c>
      <c r="G396" s="3" t="s">
        <v>83</v>
      </c>
      <c r="H396" s="3">
        <v>2</v>
      </c>
      <c r="I396" s="4">
        <v>60</v>
      </c>
      <c r="J396" s="3">
        <v>100</v>
      </c>
      <c r="K396" s="3">
        <v>15</v>
      </c>
      <c r="L396" s="3">
        <v>170</v>
      </c>
      <c r="M396" s="3">
        <v>50</v>
      </c>
      <c r="N396" s="3" t="s">
        <v>13</v>
      </c>
      <c r="O396" s="3" t="str">
        <f t="shared" si="6"/>
        <v>YES</v>
      </c>
      <c r="P396" s="3" t="s">
        <v>365</v>
      </c>
      <c r="Q396" s="3" t="s">
        <v>45</v>
      </c>
    </row>
    <row r="397" spans="1:17" x14ac:dyDescent="0.25">
      <c r="A397" s="2">
        <v>45692</v>
      </c>
      <c r="B397" s="2" t="s">
        <v>500</v>
      </c>
      <c r="C397" s="2" t="s">
        <v>493</v>
      </c>
      <c r="D397" s="3" t="s">
        <v>32</v>
      </c>
      <c r="E397" s="3" t="s">
        <v>58</v>
      </c>
      <c r="F397" s="3" t="s">
        <v>29</v>
      </c>
      <c r="G397" s="3" t="s">
        <v>47</v>
      </c>
      <c r="H397" s="3">
        <v>2</v>
      </c>
      <c r="I397" s="4">
        <v>100</v>
      </c>
      <c r="J397" s="3">
        <v>150</v>
      </c>
      <c r="K397" s="3">
        <v>15</v>
      </c>
      <c r="L397" s="3">
        <v>255</v>
      </c>
      <c r="M397" s="3">
        <v>55</v>
      </c>
      <c r="N397" s="3" t="s">
        <v>35</v>
      </c>
      <c r="O397" s="3" t="str">
        <f t="shared" si="6"/>
        <v>YES</v>
      </c>
      <c r="P397" s="3" t="s">
        <v>247</v>
      </c>
      <c r="Q397" s="3" t="s">
        <v>15</v>
      </c>
    </row>
    <row r="398" spans="1:17" x14ac:dyDescent="0.25">
      <c r="A398" s="2">
        <v>45957</v>
      </c>
      <c r="B398" s="2" t="s">
        <v>499</v>
      </c>
      <c r="C398" s="2" t="s">
        <v>491</v>
      </c>
      <c r="D398" s="3" t="s">
        <v>38</v>
      </c>
      <c r="E398" s="3" t="s">
        <v>23</v>
      </c>
      <c r="F398" s="3" t="s">
        <v>11</v>
      </c>
      <c r="G398" s="3" t="s">
        <v>12</v>
      </c>
      <c r="H398" s="3">
        <v>2</v>
      </c>
      <c r="I398" s="4">
        <v>75</v>
      </c>
      <c r="J398" s="3">
        <v>250</v>
      </c>
      <c r="K398" s="3">
        <v>0</v>
      </c>
      <c r="L398" s="3">
        <v>500</v>
      </c>
      <c r="M398" s="3">
        <v>350</v>
      </c>
      <c r="N398" s="3" t="s">
        <v>35</v>
      </c>
      <c r="O398" s="3" t="str">
        <f t="shared" si="6"/>
        <v>NO</v>
      </c>
      <c r="P398" s="3" t="s">
        <v>369</v>
      </c>
      <c r="Q398" s="3" t="s">
        <v>15</v>
      </c>
    </row>
    <row r="399" spans="1:17" x14ac:dyDescent="0.25">
      <c r="A399" s="2">
        <v>45683</v>
      </c>
      <c r="B399" s="2" t="s">
        <v>489</v>
      </c>
      <c r="C399" s="2" t="s">
        <v>488</v>
      </c>
      <c r="D399" s="3" t="s">
        <v>9</v>
      </c>
      <c r="E399" s="3" t="s">
        <v>10</v>
      </c>
      <c r="F399" s="3" t="s">
        <v>11</v>
      </c>
      <c r="G399" s="3" t="s">
        <v>12</v>
      </c>
      <c r="H399" s="3">
        <v>1</v>
      </c>
      <c r="I399" s="4">
        <v>30</v>
      </c>
      <c r="J399" s="3">
        <v>100</v>
      </c>
      <c r="K399" s="3">
        <v>5</v>
      </c>
      <c r="L399" s="3">
        <v>95</v>
      </c>
      <c r="M399" s="3">
        <v>65</v>
      </c>
      <c r="N399" s="3" t="s">
        <v>13</v>
      </c>
      <c r="O399" s="3" t="str">
        <f t="shared" si="6"/>
        <v>YES</v>
      </c>
      <c r="P399" s="3" t="s">
        <v>370</v>
      </c>
      <c r="Q399" s="3" t="s">
        <v>21</v>
      </c>
    </row>
    <row r="400" spans="1:17" x14ac:dyDescent="0.25">
      <c r="A400" s="2">
        <v>45698</v>
      </c>
      <c r="B400" s="2" t="s">
        <v>500</v>
      </c>
      <c r="C400" s="2" t="s">
        <v>491</v>
      </c>
      <c r="D400" s="3" t="s">
        <v>27</v>
      </c>
      <c r="E400" s="3" t="s">
        <v>58</v>
      </c>
      <c r="F400" s="3" t="s">
        <v>33</v>
      </c>
      <c r="G400" s="3" t="s">
        <v>50</v>
      </c>
      <c r="H400" s="3">
        <v>5</v>
      </c>
      <c r="I400" s="4">
        <v>112.5</v>
      </c>
      <c r="J400" s="3">
        <v>250</v>
      </c>
      <c r="K400" s="3">
        <v>10</v>
      </c>
      <c r="L400" s="3">
        <v>1125</v>
      </c>
      <c r="M400" s="3">
        <v>562.5</v>
      </c>
      <c r="N400" s="3" t="s">
        <v>35</v>
      </c>
      <c r="O400" s="3" t="str">
        <f t="shared" si="6"/>
        <v>YES</v>
      </c>
      <c r="P400" s="3" t="s">
        <v>324</v>
      </c>
      <c r="Q400" s="3" t="s">
        <v>41</v>
      </c>
    </row>
    <row r="401" spans="1:17" x14ac:dyDescent="0.25">
      <c r="A401" s="2">
        <v>45694</v>
      </c>
      <c r="B401" s="2" t="s">
        <v>500</v>
      </c>
      <c r="C401" s="2" t="s">
        <v>496</v>
      </c>
      <c r="D401" s="3" t="s">
        <v>32</v>
      </c>
      <c r="E401" s="3" t="s">
        <v>39</v>
      </c>
      <c r="F401" s="3" t="s">
        <v>17</v>
      </c>
      <c r="G401" s="3" t="s">
        <v>18</v>
      </c>
      <c r="H401" s="3">
        <v>1</v>
      </c>
      <c r="I401" s="4">
        <v>50</v>
      </c>
      <c r="J401" s="3">
        <v>250</v>
      </c>
      <c r="K401" s="3">
        <v>10</v>
      </c>
      <c r="L401" s="3">
        <v>225</v>
      </c>
      <c r="M401" s="3">
        <v>175</v>
      </c>
      <c r="N401" s="3" t="s">
        <v>13</v>
      </c>
      <c r="O401" s="3" t="str">
        <f t="shared" si="6"/>
        <v>YES</v>
      </c>
      <c r="P401" s="3" t="s">
        <v>185</v>
      </c>
      <c r="Q401" s="3" t="s">
        <v>37</v>
      </c>
    </row>
    <row r="402" spans="1:17" x14ac:dyDescent="0.25">
      <c r="A402" s="2">
        <v>45809</v>
      </c>
      <c r="B402" s="2" t="s">
        <v>497</v>
      </c>
      <c r="C402" s="2" t="s">
        <v>488</v>
      </c>
      <c r="D402" s="3" t="s">
        <v>27</v>
      </c>
      <c r="E402" s="3" t="s">
        <v>39</v>
      </c>
      <c r="F402" s="3" t="s">
        <v>24</v>
      </c>
      <c r="G402" s="3" t="s">
        <v>81</v>
      </c>
      <c r="H402" s="3">
        <v>1</v>
      </c>
      <c r="I402" s="4">
        <v>67.5</v>
      </c>
      <c r="J402" s="3">
        <v>150</v>
      </c>
      <c r="K402" s="3">
        <v>10</v>
      </c>
      <c r="L402" s="3">
        <v>135</v>
      </c>
      <c r="M402" s="3">
        <v>67.5</v>
      </c>
      <c r="N402" s="3" t="s">
        <v>35</v>
      </c>
      <c r="O402" s="3" t="str">
        <f t="shared" si="6"/>
        <v>YES</v>
      </c>
      <c r="P402" s="3" t="s">
        <v>217</v>
      </c>
      <c r="Q402" s="3" t="s">
        <v>21</v>
      </c>
    </row>
    <row r="403" spans="1:17" x14ac:dyDescent="0.25">
      <c r="A403" s="2">
        <v>45843</v>
      </c>
      <c r="B403" s="2" t="s">
        <v>501</v>
      </c>
      <c r="C403" s="2" t="s">
        <v>490</v>
      </c>
      <c r="D403" s="3" t="s">
        <v>38</v>
      </c>
      <c r="E403" s="3" t="s">
        <v>16</v>
      </c>
      <c r="F403" s="3" t="s">
        <v>24</v>
      </c>
      <c r="G403" s="3" t="s">
        <v>81</v>
      </c>
      <c r="H403" s="3">
        <v>10</v>
      </c>
      <c r="I403" s="4">
        <v>112.5</v>
      </c>
      <c r="J403" s="3">
        <v>250</v>
      </c>
      <c r="K403" s="3">
        <v>0</v>
      </c>
      <c r="L403" s="3">
        <v>2500</v>
      </c>
      <c r="M403" s="3">
        <v>1375</v>
      </c>
      <c r="N403" s="3" t="s">
        <v>19</v>
      </c>
      <c r="O403" s="3" t="str">
        <f t="shared" si="6"/>
        <v>NO</v>
      </c>
      <c r="P403" s="3" t="s">
        <v>252</v>
      </c>
      <c r="Q403" s="3" t="s">
        <v>15</v>
      </c>
    </row>
    <row r="404" spans="1:17" x14ac:dyDescent="0.25">
      <c r="A404" s="2">
        <v>45931</v>
      </c>
      <c r="B404" s="2" t="s">
        <v>499</v>
      </c>
      <c r="C404" s="2" t="s">
        <v>487</v>
      </c>
      <c r="D404" s="3" t="s">
        <v>9</v>
      </c>
      <c r="E404" s="3" t="s">
        <v>28</v>
      </c>
      <c r="F404" s="3" t="s">
        <v>11</v>
      </c>
      <c r="G404" s="3" t="s">
        <v>12</v>
      </c>
      <c r="H404" s="3">
        <v>5</v>
      </c>
      <c r="I404" s="4">
        <v>45</v>
      </c>
      <c r="J404" s="3">
        <v>150</v>
      </c>
      <c r="K404" s="3">
        <v>20</v>
      </c>
      <c r="L404" s="3">
        <v>600</v>
      </c>
      <c r="M404" s="3">
        <v>375</v>
      </c>
      <c r="N404" s="3" t="s">
        <v>35</v>
      </c>
      <c r="O404" s="3" t="str">
        <f t="shared" si="6"/>
        <v>YES</v>
      </c>
      <c r="P404" s="3" t="s">
        <v>371</v>
      </c>
      <c r="Q404" s="3" t="s">
        <v>45</v>
      </c>
    </row>
    <row r="405" spans="1:17" x14ac:dyDescent="0.25">
      <c r="A405" s="2">
        <v>45751</v>
      </c>
      <c r="B405" s="2" t="s">
        <v>486</v>
      </c>
      <c r="C405" s="2" t="s">
        <v>484</v>
      </c>
      <c r="D405" s="3" t="s">
        <v>22</v>
      </c>
      <c r="E405" s="3" t="s">
        <v>10</v>
      </c>
      <c r="F405" s="3" t="s">
        <v>17</v>
      </c>
      <c r="G405" s="3" t="s">
        <v>18</v>
      </c>
      <c r="H405" s="3">
        <v>2</v>
      </c>
      <c r="I405" s="4">
        <v>30</v>
      </c>
      <c r="J405" s="3">
        <v>150</v>
      </c>
      <c r="K405" s="3">
        <v>15</v>
      </c>
      <c r="L405" s="3">
        <v>255</v>
      </c>
      <c r="M405" s="3">
        <v>195</v>
      </c>
      <c r="N405" s="3" t="s">
        <v>13</v>
      </c>
      <c r="O405" s="3" t="str">
        <f t="shared" si="6"/>
        <v>YES</v>
      </c>
      <c r="P405" s="3" t="s">
        <v>372</v>
      </c>
      <c r="Q405" s="3" t="s">
        <v>15</v>
      </c>
    </row>
    <row r="406" spans="1:17" x14ac:dyDescent="0.25">
      <c r="A406" s="2">
        <v>45801</v>
      </c>
      <c r="B406" s="2" t="s">
        <v>492</v>
      </c>
      <c r="C406" s="2" t="s">
        <v>490</v>
      </c>
      <c r="D406" s="3" t="s">
        <v>22</v>
      </c>
      <c r="E406" s="3" t="s">
        <v>58</v>
      </c>
      <c r="F406" s="3" t="s">
        <v>29</v>
      </c>
      <c r="G406" s="3" t="s">
        <v>47</v>
      </c>
      <c r="H406" s="3">
        <v>3</v>
      </c>
      <c r="I406" s="4">
        <v>60</v>
      </c>
      <c r="J406" s="3">
        <v>100</v>
      </c>
      <c r="K406" s="3">
        <v>5</v>
      </c>
      <c r="L406" s="3">
        <v>285</v>
      </c>
      <c r="M406" s="3">
        <v>105</v>
      </c>
      <c r="N406" s="3" t="s">
        <v>19</v>
      </c>
      <c r="O406" s="3" t="str">
        <f t="shared" si="6"/>
        <v>YES</v>
      </c>
      <c r="P406" s="3" t="s">
        <v>366</v>
      </c>
      <c r="Q406" s="3" t="s">
        <v>37</v>
      </c>
    </row>
    <row r="407" spans="1:17" x14ac:dyDescent="0.25">
      <c r="A407" s="2">
        <v>45934</v>
      </c>
      <c r="B407" s="2" t="s">
        <v>499</v>
      </c>
      <c r="C407" s="2" t="s">
        <v>490</v>
      </c>
      <c r="D407" s="3" t="s">
        <v>9</v>
      </c>
      <c r="E407" s="3" t="s">
        <v>28</v>
      </c>
      <c r="F407" s="3" t="s">
        <v>11</v>
      </c>
      <c r="G407" s="3" t="s">
        <v>131</v>
      </c>
      <c r="H407" s="3">
        <v>1</v>
      </c>
      <c r="I407" s="4">
        <v>45</v>
      </c>
      <c r="J407" s="3">
        <v>150</v>
      </c>
      <c r="K407" s="3">
        <v>5</v>
      </c>
      <c r="L407" s="3">
        <v>142.5</v>
      </c>
      <c r="M407" s="3">
        <v>97.5</v>
      </c>
      <c r="N407" s="3" t="s">
        <v>13</v>
      </c>
      <c r="O407" s="3" t="str">
        <f t="shared" si="6"/>
        <v>YES</v>
      </c>
      <c r="P407" s="3" t="s">
        <v>373</v>
      </c>
      <c r="Q407" s="3" t="s">
        <v>37</v>
      </c>
    </row>
    <row r="408" spans="1:17" x14ac:dyDescent="0.25">
      <c r="A408" s="2">
        <v>45904</v>
      </c>
      <c r="B408" s="2" t="s">
        <v>483</v>
      </c>
      <c r="C408" s="2" t="s">
        <v>496</v>
      </c>
      <c r="D408" s="3" t="s">
        <v>9</v>
      </c>
      <c r="E408" s="3" t="s">
        <v>28</v>
      </c>
      <c r="F408" s="3" t="s">
        <v>24</v>
      </c>
      <c r="G408" s="3" t="s">
        <v>81</v>
      </c>
      <c r="H408" s="3">
        <v>2</v>
      </c>
      <c r="I408" s="4">
        <v>90</v>
      </c>
      <c r="J408" s="3">
        <v>200</v>
      </c>
      <c r="K408" s="3">
        <v>20</v>
      </c>
      <c r="L408" s="3">
        <v>320</v>
      </c>
      <c r="M408" s="3">
        <v>140</v>
      </c>
      <c r="N408" s="3" t="s">
        <v>19</v>
      </c>
      <c r="O408" s="3" t="str">
        <f t="shared" si="6"/>
        <v>YES</v>
      </c>
      <c r="P408" s="3" t="s">
        <v>374</v>
      </c>
      <c r="Q408" s="3" t="s">
        <v>15</v>
      </c>
    </row>
    <row r="409" spans="1:17" x14ac:dyDescent="0.25">
      <c r="A409" s="2">
        <v>46012</v>
      </c>
      <c r="B409" s="2" t="s">
        <v>498</v>
      </c>
      <c r="C409" s="2" t="s">
        <v>488</v>
      </c>
      <c r="D409" s="3" t="s">
        <v>9</v>
      </c>
      <c r="E409" s="3" t="s">
        <v>70</v>
      </c>
      <c r="F409" s="3" t="s">
        <v>33</v>
      </c>
      <c r="G409" s="3" t="s">
        <v>88</v>
      </c>
      <c r="H409" s="3">
        <v>5</v>
      </c>
      <c r="I409" s="4">
        <v>22.5</v>
      </c>
      <c r="J409" s="3">
        <v>150</v>
      </c>
      <c r="K409" s="3">
        <v>15</v>
      </c>
      <c r="L409" s="3">
        <v>637.5</v>
      </c>
      <c r="M409" s="3">
        <v>525</v>
      </c>
      <c r="N409" s="3" t="s">
        <v>35</v>
      </c>
      <c r="O409" s="3" t="str">
        <f t="shared" si="6"/>
        <v>YES</v>
      </c>
      <c r="P409" s="3" t="s">
        <v>375</v>
      </c>
      <c r="Q409" s="3" t="s">
        <v>21</v>
      </c>
    </row>
    <row r="410" spans="1:17" x14ac:dyDescent="0.25">
      <c r="A410" s="2">
        <v>46001</v>
      </c>
      <c r="B410" s="2" t="s">
        <v>498</v>
      </c>
      <c r="C410" s="2" t="s">
        <v>487</v>
      </c>
      <c r="D410" s="3" t="s">
        <v>38</v>
      </c>
      <c r="E410" s="3" t="s">
        <v>58</v>
      </c>
      <c r="F410" s="3" t="s">
        <v>24</v>
      </c>
      <c r="G410" s="3" t="s">
        <v>42</v>
      </c>
      <c r="H410" s="3">
        <v>5</v>
      </c>
      <c r="I410" s="4">
        <v>22.5</v>
      </c>
      <c r="J410" s="3">
        <v>50</v>
      </c>
      <c r="K410" s="3">
        <v>0</v>
      </c>
      <c r="L410" s="3">
        <v>250</v>
      </c>
      <c r="M410" s="3">
        <v>137.5</v>
      </c>
      <c r="N410" s="3" t="s">
        <v>35</v>
      </c>
      <c r="O410" s="3" t="str">
        <f t="shared" si="6"/>
        <v>NO</v>
      </c>
      <c r="P410" s="3" t="s">
        <v>234</v>
      </c>
      <c r="Q410" s="3" t="s">
        <v>41</v>
      </c>
    </row>
    <row r="411" spans="1:17" x14ac:dyDescent="0.25">
      <c r="A411" s="2">
        <v>45841</v>
      </c>
      <c r="B411" s="2" t="s">
        <v>501</v>
      </c>
      <c r="C411" s="2" t="s">
        <v>496</v>
      </c>
      <c r="D411" s="3" t="s">
        <v>27</v>
      </c>
      <c r="E411" s="3" t="s">
        <v>58</v>
      </c>
      <c r="F411" s="3" t="s">
        <v>24</v>
      </c>
      <c r="G411" s="3" t="s">
        <v>71</v>
      </c>
      <c r="H411" s="3">
        <v>5</v>
      </c>
      <c r="I411" s="4">
        <v>90</v>
      </c>
      <c r="J411" s="3">
        <v>200</v>
      </c>
      <c r="K411" s="3">
        <v>5</v>
      </c>
      <c r="L411" s="3">
        <v>950</v>
      </c>
      <c r="M411" s="3">
        <v>500</v>
      </c>
      <c r="N411" s="3" t="s">
        <v>13</v>
      </c>
      <c r="O411" s="3" t="str">
        <f t="shared" si="6"/>
        <v>YES</v>
      </c>
      <c r="P411" s="3" t="s">
        <v>376</v>
      </c>
      <c r="Q411" s="3" t="s">
        <v>61</v>
      </c>
    </row>
    <row r="412" spans="1:17" x14ac:dyDescent="0.25">
      <c r="A412" s="2">
        <v>45764</v>
      </c>
      <c r="B412" s="2" t="s">
        <v>486</v>
      </c>
      <c r="C412" s="2" t="s">
        <v>496</v>
      </c>
      <c r="D412" s="3" t="s">
        <v>22</v>
      </c>
      <c r="E412" s="3" t="s">
        <v>10</v>
      </c>
      <c r="F412" s="3" t="s">
        <v>33</v>
      </c>
      <c r="G412" s="3" t="s">
        <v>34</v>
      </c>
      <c r="H412" s="3">
        <v>2</v>
      </c>
      <c r="I412" s="4">
        <v>67.5</v>
      </c>
      <c r="J412" s="3">
        <v>150</v>
      </c>
      <c r="K412" s="3">
        <v>0</v>
      </c>
      <c r="L412" s="3">
        <v>300</v>
      </c>
      <c r="M412" s="3">
        <v>165</v>
      </c>
      <c r="N412" s="3" t="s">
        <v>13</v>
      </c>
      <c r="O412" s="3" t="str">
        <f t="shared" si="6"/>
        <v>NO</v>
      </c>
      <c r="P412" s="3" t="s">
        <v>377</v>
      </c>
      <c r="Q412" s="3" t="s">
        <v>61</v>
      </c>
    </row>
    <row r="413" spans="1:17" x14ac:dyDescent="0.25">
      <c r="A413" s="2">
        <v>45709</v>
      </c>
      <c r="B413" s="2" t="s">
        <v>500</v>
      </c>
      <c r="C413" s="2" t="s">
        <v>484</v>
      </c>
      <c r="D413" s="3" t="s">
        <v>32</v>
      </c>
      <c r="E413" s="3" t="s">
        <v>39</v>
      </c>
      <c r="F413" s="3" t="s">
        <v>17</v>
      </c>
      <c r="G413" s="3" t="s">
        <v>18</v>
      </c>
      <c r="H413" s="3">
        <v>3</v>
      </c>
      <c r="I413" s="4">
        <v>30</v>
      </c>
      <c r="J413" s="3">
        <v>150</v>
      </c>
      <c r="K413" s="3">
        <v>5</v>
      </c>
      <c r="L413" s="3">
        <v>427.5</v>
      </c>
      <c r="M413" s="3">
        <v>337.5</v>
      </c>
      <c r="N413" s="3" t="s">
        <v>19</v>
      </c>
      <c r="O413" s="3" t="str">
        <f t="shared" si="6"/>
        <v>YES</v>
      </c>
      <c r="P413" s="3" t="s">
        <v>250</v>
      </c>
      <c r="Q413" s="3" t="s">
        <v>37</v>
      </c>
    </row>
    <row r="414" spans="1:17" x14ac:dyDescent="0.25">
      <c r="A414" s="2">
        <v>45682</v>
      </c>
      <c r="B414" s="2" t="s">
        <v>489</v>
      </c>
      <c r="C414" s="2" t="s">
        <v>490</v>
      </c>
      <c r="D414" s="3" t="s">
        <v>22</v>
      </c>
      <c r="E414" s="3" t="s">
        <v>10</v>
      </c>
      <c r="F414" s="3" t="s">
        <v>24</v>
      </c>
      <c r="G414" s="3" t="s">
        <v>42</v>
      </c>
      <c r="H414" s="3">
        <v>2</v>
      </c>
      <c r="I414" s="4">
        <v>22.5</v>
      </c>
      <c r="J414" s="3">
        <v>50</v>
      </c>
      <c r="K414" s="3">
        <v>0</v>
      </c>
      <c r="L414" s="3">
        <v>100</v>
      </c>
      <c r="M414" s="3">
        <v>55</v>
      </c>
      <c r="N414" s="3" t="s">
        <v>35</v>
      </c>
      <c r="O414" s="3" t="str">
        <f t="shared" si="6"/>
        <v>NO</v>
      </c>
      <c r="P414" s="3" t="s">
        <v>303</v>
      </c>
      <c r="Q414" s="3" t="s">
        <v>41</v>
      </c>
    </row>
    <row r="415" spans="1:17" x14ac:dyDescent="0.25">
      <c r="A415" s="2">
        <v>46012</v>
      </c>
      <c r="B415" s="2" t="s">
        <v>498</v>
      </c>
      <c r="C415" s="2" t="s">
        <v>488</v>
      </c>
      <c r="D415" s="3" t="s">
        <v>38</v>
      </c>
      <c r="E415" s="3" t="s">
        <v>23</v>
      </c>
      <c r="F415" s="3" t="s">
        <v>29</v>
      </c>
      <c r="G415" s="3" t="s">
        <v>47</v>
      </c>
      <c r="H415" s="3">
        <v>3</v>
      </c>
      <c r="I415" s="4">
        <v>60</v>
      </c>
      <c r="J415" s="3">
        <v>150</v>
      </c>
      <c r="K415" s="3">
        <v>10</v>
      </c>
      <c r="L415" s="3">
        <v>405</v>
      </c>
      <c r="M415" s="3">
        <v>225</v>
      </c>
      <c r="N415" s="3" t="s">
        <v>35</v>
      </c>
      <c r="O415" s="3" t="str">
        <f t="shared" si="6"/>
        <v>YES</v>
      </c>
      <c r="P415" s="3" t="s">
        <v>378</v>
      </c>
      <c r="Q415" s="3" t="s">
        <v>15</v>
      </c>
    </row>
    <row r="416" spans="1:17" x14ac:dyDescent="0.25">
      <c r="A416" s="2">
        <v>45665</v>
      </c>
      <c r="B416" s="2" t="s">
        <v>489</v>
      </c>
      <c r="C416" s="2" t="s">
        <v>487</v>
      </c>
      <c r="D416" s="3" t="s">
        <v>38</v>
      </c>
      <c r="E416" s="3" t="s">
        <v>16</v>
      </c>
      <c r="F416" s="3" t="s">
        <v>24</v>
      </c>
      <c r="G416" s="3" t="s">
        <v>81</v>
      </c>
      <c r="H416" s="3">
        <v>2</v>
      </c>
      <c r="I416" s="4">
        <v>67.5</v>
      </c>
      <c r="J416" s="3">
        <v>150</v>
      </c>
      <c r="K416" s="3">
        <v>0</v>
      </c>
      <c r="L416" s="3">
        <v>300</v>
      </c>
      <c r="M416" s="3">
        <v>165</v>
      </c>
      <c r="N416" s="3" t="s">
        <v>13</v>
      </c>
      <c r="O416" s="3" t="str">
        <f t="shared" si="6"/>
        <v>NO</v>
      </c>
      <c r="P416" s="3" t="s">
        <v>379</v>
      </c>
      <c r="Q416" s="3" t="s">
        <v>45</v>
      </c>
    </row>
    <row r="417" spans="1:17" x14ac:dyDescent="0.25">
      <c r="A417" s="2">
        <v>45817</v>
      </c>
      <c r="B417" s="2" t="s">
        <v>497</v>
      </c>
      <c r="C417" s="2" t="s">
        <v>491</v>
      </c>
      <c r="D417" s="3" t="s">
        <v>27</v>
      </c>
      <c r="E417" s="3" t="s">
        <v>28</v>
      </c>
      <c r="F417" s="3" t="s">
        <v>33</v>
      </c>
      <c r="G417" s="3" t="s">
        <v>34</v>
      </c>
      <c r="H417" s="3">
        <v>2</v>
      </c>
      <c r="I417" s="4">
        <v>45</v>
      </c>
      <c r="J417" s="3">
        <v>50</v>
      </c>
      <c r="K417" s="3">
        <v>0</v>
      </c>
      <c r="L417" s="3">
        <v>100</v>
      </c>
      <c r="M417" s="3">
        <v>10</v>
      </c>
      <c r="N417" s="3" t="s">
        <v>13</v>
      </c>
      <c r="O417" s="3" t="str">
        <f t="shared" si="6"/>
        <v>NO</v>
      </c>
      <c r="P417" s="3" t="s">
        <v>380</v>
      </c>
      <c r="Q417" s="3" t="s">
        <v>15</v>
      </c>
    </row>
    <row r="418" spans="1:17" x14ac:dyDescent="0.25">
      <c r="A418" s="2">
        <v>45770</v>
      </c>
      <c r="B418" s="2" t="s">
        <v>486</v>
      </c>
      <c r="C418" s="2" t="s">
        <v>487</v>
      </c>
      <c r="D418" s="3" t="s">
        <v>22</v>
      </c>
      <c r="E418" s="3" t="s">
        <v>58</v>
      </c>
      <c r="F418" s="3" t="s">
        <v>33</v>
      </c>
      <c r="G418" s="3" t="s">
        <v>88</v>
      </c>
      <c r="H418" s="3">
        <v>1</v>
      </c>
      <c r="I418" s="4">
        <v>90</v>
      </c>
      <c r="J418" s="3">
        <v>100</v>
      </c>
      <c r="K418" s="3">
        <v>0</v>
      </c>
      <c r="L418" s="3">
        <v>100</v>
      </c>
      <c r="M418" s="3">
        <v>10</v>
      </c>
      <c r="N418" s="3" t="s">
        <v>35</v>
      </c>
      <c r="O418" s="3" t="str">
        <f t="shared" si="6"/>
        <v>NO</v>
      </c>
      <c r="P418" s="3" t="s">
        <v>381</v>
      </c>
      <c r="Q418" s="3" t="s">
        <v>41</v>
      </c>
    </row>
    <row r="419" spans="1:17" x14ac:dyDescent="0.25">
      <c r="A419" s="2">
        <v>45962</v>
      </c>
      <c r="B419" s="2" t="s">
        <v>485</v>
      </c>
      <c r="C419" s="2" t="s">
        <v>490</v>
      </c>
      <c r="D419" s="3" t="s">
        <v>9</v>
      </c>
      <c r="E419" s="3" t="s">
        <v>10</v>
      </c>
      <c r="F419" s="3" t="s">
        <v>29</v>
      </c>
      <c r="G419" s="3" t="s">
        <v>47</v>
      </c>
      <c r="H419" s="3">
        <v>10</v>
      </c>
      <c r="I419" s="4">
        <v>40</v>
      </c>
      <c r="J419" s="3">
        <v>200</v>
      </c>
      <c r="K419" s="3">
        <v>15</v>
      </c>
      <c r="L419" s="3">
        <v>1700</v>
      </c>
      <c r="M419" s="3">
        <v>1300</v>
      </c>
      <c r="N419" s="3" t="s">
        <v>19</v>
      </c>
      <c r="O419" s="3" t="str">
        <f t="shared" si="6"/>
        <v>YES</v>
      </c>
      <c r="P419" s="3" t="s">
        <v>382</v>
      </c>
      <c r="Q419" s="3" t="s">
        <v>61</v>
      </c>
    </row>
    <row r="420" spans="1:17" x14ac:dyDescent="0.25">
      <c r="A420" s="2">
        <v>45886</v>
      </c>
      <c r="B420" s="2" t="s">
        <v>495</v>
      </c>
      <c r="C420" s="2" t="s">
        <v>488</v>
      </c>
      <c r="D420" s="3" t="s">
        <v>9</v>
      </c>
      <c r="E420" s="3" t="s">
        <v>23</v>
      </c>
      <c r="F420" s="3" t="s">
        <v>29</v>
      </c>
      <c r="G420" s="3" t="s">
        <v>54</v>
      </c>
      <c r="H420" s="3">
        <v>1</v>
      </c>
      <c r="I420" s="4">
        <v>80</v>
      </c>
      <c r="J420" s="3">
        <v>100</v>
      </c>
      <c r="K420" s="3">
        <v>10</v>
      </c>
      <c r="L420" s="3">
        <v>90</v>
      </c>
      <c r="M420" s="3">
        <v>10</v>
      </c>
      <c r="N420" s="3" t="s">
        <v>35</v>
      </c>
      <c r="O420" s="3" t="str">
        <f t="shared" si="6"/>
        <v>YES</v>
      </c>
      <c r="P420" s="3" t="s">
        <v>318</v>
      </c>
      <c r="Q420" s="3" t="s">
        <v>15</v>
      </c>
    </row>
    <row r="421" spans="1:17" x14ac:dyDescent="0.25">
      <c r="A421" s="2">
        <v>45658</v>
      </c>
      <c r="B421" s="2" t="s">
        <v>489</v>
      </c>
      <c r="C421" s="2" t="s">
        <v>487</v>
      </c>
      <c r="D421" s="3" t="s">
        <v>22</v>
      </c>
      <c r="E421" s="3" t="s">
        <v>10</v>
      </c>
      <c r="F421" s="3" t="s">
        <v>17</v>
      </c>
      <c r="G421" s="3" t="s">
        <v>107</v>
      </c>
      <c r="H421" s="3">
        <v>3</v>
      </c>
      <c r="I421" s="4">
        <v>40</v>
      </c>
      <c r="J421" s="3">
        <v>200</v>
      </c>
      <c r="K421" s="3">
        <v>0</v>
      </c>
      <c r="L421" s="3">
        <v>600</v>
      </c>
      <c r="M421" s="3">
        <v>480</v>
      </c>
      <c r="N421" s="3" t="s">
        <v>35</v>
      </c>
      <c r="O421" s="3" t="str">
        <f t="shared" si="6"/>
        <v>NO</v>
      </c>
      <c r="P421" s="3" t="s">
        <v>383</v>
      </c>
      <c r="Q421" s="3" t="s">
        <v>15</v>
      </c>
    </row>
    <row r="422" spans="1:17" x14ac:dyDescent="0.25">
      <c r="A422" s="2">
        <v>45704</v>
      </c>
      <c r="B422" s="2" t="s">
        <v>500</v>
      </c>
      <c r="C422" s="2" t="s">
        <v>488</v>
      </c>
      <c r="D422" s="3" t="s">
        <v>9</v>
      </c>
      <c r="E422" s="3" t="s">
        <v>70</v>
      </c>
      <c r="F422" s="3" t="s">
        <v>29</v>
      </c>
      <c r="G422" s="3" t="s">
        <v>54</v>
      </c>
      <c r="H422" s="3">
        <v>1</v>
      </c>
      <c r="I422" s="4">
        <v>80</v>
      </c>
      <c r="J422" s="3">
        <v>250</v>
      </c>
      <c r="K422" s="3">
        <v>5</v>
      </c>
      <c r="L422" s="3">
        <v>237.5</v>
      </c>
      <c r="M422" s="3">
        <v>157.5</v>
      </c>
      <c r="N422" s="3" t="s">
        <v>19</v>
      </c>
      <c r="O422" s="3" t="str">
        <f t="shared" si="6"/>
        <v>YES</v>
      </c>
      <c r="P422" s="3" t="s">
        <v>340</v>
      </c>
      <c r="Q422" s="3" t="s">
        <v>21</v>
      </c>
    </row>
    <row r="423" spans="1:17" x14ac:dyDescent="0.25">
      <c r="A423" s="2">
        <v>45799</v>
      </c>
      <c r="B423" s="2" t="s">
        <v>492</v>
      </c>
      <c r="C423" s="2" t="s">
        <v>496</v>
      </c>
      <c r="D423" s="3" t="s">
        <v>22</v>
      </c>
      <c r="E423" s="3" t="s">
        <v>23</v>
      </c>
      <c r="F423" s="3" t="s">
        <v>29</v>
      </c>
      <c r="G423" s="3" t="s">
        <v>83</v>
      </c>
      <c r="H423" s="3">
        <v>5</v>
      </c>
      <c r="I423" s="4">
        <v>40</v>
      </c>
      <c r="J423" s="3">
        <v>200</v>
      </c>
      <c r="K423" s="3">
        <v>0</v>
      </c>
      <c r="L423" s="3">
        <v>1000</v>
      </c>
      <c r="M423" s="3">
        <v>800</v>
      </c>
      <c r="N423" s="3" t="s">
        <v>13</v>
      </c>
      <c r="O423" s="3" t="str">
        <f t="shared" si="6"/>
        <v>NO</v>
      </c>
      <c r="P423" s="3" t="s">
        <v>384</v>
      </c>
      <c r="Q423" s="3" t="s">
        <v>41</v>
      </c>
    </row>
    <row r="424" spans="1:17" x14ac:dyDescent="0.25">
      <c r="A424" s="2">
        <v>45873</v>
      </c>
      <c r="B424" s="2" t="s">
        <v>495</v>
      </c>
      <c r="C424" s="2" t="s">
        <v>491</v>
      </c>
      <c r="D424" s="3" t="s">
        <v>9</v>
      </c>
      <c r="E424" s="3" t="s">
        <v>23</v>
      </c>
      <c r="F424" s="3" t="s">
        <v>11</v>
      </c>
      <c r="G424" s="3" t="s">
        <v>131</v>
      </c>
      <c r="H424" s="3">
        <v>1</v>
      </c>
      <c r="I424" s="4">
        <v>30</v>
      </c>
      <c r="J424" s="3">
        <v>100</v>
      </c>
      <c r="K424" s="3">
        <v>20</v>
      </c>
      <c r="L424" s="3">
        <v>80</v>
      </c>
      <c r="M424" s="3">
        <v>50</v>
      </c>
      <c r="N424" s="3" t="s">
        <v>13</v>
      </c>
      <c r="O424" s="3" t="str">
        <f t="shared" si="6"/>
        <v>YES</v>
      </c>
      <c r="P424" s="3" t="s">
        <v>382</v>
      </c>
      <c r="Q424" s="3" t="s">
        <v>15</v>
      </c>
    </row>
    <row r="425" spans="1:17" x14ac:dyDescent="0.25">
      <c r="A425" s="2">
        <v>45769</v>
      </c>
      <c r="B425" s="2" t="s">
        <v>486</v>
      </c>
      <c r="C425" s="2" t="s">
        <v>493</v>
      </c>
      <c r="D425" s="3" t="s">
        <v>32</v>
      </c>
      <c r="E425" s="3" t="s">
        <v>58</v>
      </c>
      <c r="F425" s="3" t="s">
        <v>24</v>
      </c>
      <c r="G425" s="3" t="s">
        <v>25</v>
      </c>
      <c r="H425" s="3">
        <v>3</v>
      </c>
      <c r="I425" s="4">
        <v>112.5</v>
      </c>
      <c r="J425" s="3">
        <v>250</v>
      </c>
      <c r="K425" s="3">
        <v>20</v>
      </c>
      <c r="L425" s="3">
        <v>600</v>
      </c>
      <c r="M425" s="3">
        <v>262.5</v>
      </c>
      <c r="N425" s="3" t="s">
        <v>35</v>
      </c>
      <c r="O425" s="3" t="str">
        <f t="shared" si="6"/>
        <v>YES</v>
      </c>
      <c r="P425" s="3" t="s">
        <v>385</v>
      </c>
      <c r="Q425" s="3" t="s">
        <v>15</v>
      </c>
    </row>
    <row r="426" spans="1:17" x14ac:dyDescent="0.25">
      <c r="A426" s="2">
        <v>45666</v>
      </c>
      <c r="B426" s="2" t="s">
        <v>489</v>
      </c>
      <c r="C426" s="2" t="s">
        <v>496</v>
      </c>
      <c r="D426" s="3" t="s">
        <v>22</v>
      </c>
      <c r="E426" s="3" t="s">
        <v>58</v>
      </c>
      <c r="F426" s="3" t="s">
        <v>24</v>
      </c>
      <c r="G426" s="3" t="s">
        <v>81</v>
      </c>
      <c r="H426" s="3">
        <v>1</v>
      </c>
      <c r="I426" s="4">
        <v>22.5</v>
      </c>
      <c r="J426" s="3">
        <v>50</v>
      </c>
      <c r="K426" s="3">
        <v>15</v>
      </c>
      <c r="L426" s="3">
        <v>42.5</v>
      </c>
      <c r="M426" s="3">
        <v>20</v>
      </c>
      <c r="N426" s="3" t="s">
        <v>13</v>
      </c>
      <c r="O426" s="3" t="str">
        <f t="shared" si="6"/>
        <v>YES</v>
      </c>
      <c r="P426" s="3" t="s">
        <v>151</v>
      </c>
      <c r="Q426" s="3" t="s">
        <v>41</v>
      </c>
    </row>
    <row r="427" spans="1:17" x14ac:dyDescent="0.25">
      <c r="A427" s="2">
        <v>45871</v>
      </c>
      <c r="B427" s="2" t="s">
        <v>495</v>
      </c>
      <c r="C427" s="2" t="s">
        <v>490</v>
      </c>
      <c r="D427" s="3" t="s">
        <v>9</v>
      </c>
      <c r="E427" s="3" t="s">
        <v>28</v>
      </c>
      <c r="F427" s="3" t="s">
        <v>29</v>
      </c>
      <c r="G427" s="3" t="s">
        <v>83</v>
      </c>
      <c r="H427" s="3">
        <v>5</v>
      </c>
      <c r="I427" s="4">
        <v>100</v>
      </c>
      <c r="J427" s="3">
        <v>150</v>
      </c>
      <c r="K427" s="3">
        <v>20</v>
      </c>
      <c r="L427" s="3">
        <v>600</v>
      </c>
      <c r="M427" s="3">
        <v>100</v>
      </c>
      <c r="N427" s="3" t="s">
        <v>13</v>
      </c>
      <c r="O427" s="3" t="str">
        <f t="shared" si="6"/>
        <v>YES</v>
      </c>
      <c r="P427" s="3" t="s">
        <v>386</v>
      </c>
      <c r="Q427" s="3" t="s">
        <v>61</v>
      </c>
    </row>
    <row r="428" spans="1:17" x14ac:dyDescent="0.25">
      <c r="A428" s="2">
        <v>45707</v>
      </c>
      <c r="B428" s="2" t="s">
        <v>500</v>
      </c>
      <c r="C428" s="2" t="s">
        <v>487</v>
      </c>
      <c r="D428" s="3" t="s">
        <v>22</v>
      </c>
      <c r="E428" s="3" t="s">
        <v>16</v>
      </c>
      <c r="F428" s="3" t="s">
        <v>33</v>
      </c>
      <c r="G428" s="3" t="s">
        <v>50</v>
      </c>
      <c r="H428" s="3">
        <v>3</v>
      </c>
      <c r="I428" s="4">
        <v>112.5</v>
      </c>
      <c r="J428" s="3">
        <v>250</v>
      </c>
      <c r="K428" s="3">
        <v>0</v>
      </c>
      <c r="L428" s="3">
        <v>750</v>
      </c>
      <c r="M428" s="3">
        <v>412.5</v>
      </c>
      <c r="N428" s="3" t="s">
        <v>35</v>
      </c>
      <c r="O428" s="3" t="str">
        <f t="shared" si="6"/>
        <v>NO</v>
      </c>
      <c r="P428" s="3" t="s">
        <v>385</v>
      </c>
      <c r="Q428" s="3" t="s">
        <v>41</v>
      </c>
    </row>
    <row r="429" spans="1:17" x14ac:dyDescent="0.25">
      <c r="A429" s="2">
        <v>45660</v>
      </c>
      <c r="B429" s="2" t="s">
        <v>489</v>
      </c>
      <c r="C429" s="2" t="s">
        <v>484</v>
      </c>
      <c r="D429" s="3" t="s">
        <v>22</v>
      </c>
      <c r="E429" s="3" t="s">
        <v>23</v>
      </c>
      <c r="F429" s="3" t="s">
        <v>24</v>
      </c>
      <c r="G429" s="3" t="s">
        <v>42</v>
      </c>
      <c r="H429" s="3">
        <v>3</v>
      </c>
      <c r="I429" s="4">
        <v>112.5</v>
      </c>
      <c r="J429" s="3">
        <v>250</v>
      </c>
      <c r="K429" s="3">
        <v>10</v>
      </c>
      <c r="L429" s="3">
        <v>675</v>
      </c>
      <c r="M429" s="3">
        <v>337.5</v>
      </c>
      <c r="N429" s="3" t="s">
        <v>13</v>
      </c>
      <c r="O429" s="3" t="str">
        <f t="shared" si="6"/>
        <v>YES</v>
      </c>
      <c r="P429" s="3" t="s">
        <v>98</v>
      </c>
      <c r="Q429" s="3" t="s">
        <v>45</v>
      </c>
    </row>
    <row r="430" spans="1:17" x14ac:dyDescent="0.25">
      <c r="A430" s="2">
        <v>45988</v>
      </c>
      <c r="B430" s="2" t="s">
        <v>485</v>
      </c>
      <c r="C430" s="2" t="s">
        <v>496</v>
      </c>
      <c r="D430" s="3" t="s">
        <v>9</v>
      </c>
      <c r="E430" s="3" t="s">
        <v>28</v>
      </c>
      <c r="F430" s="3" t="s">
        <v>29</v>
      </c>
      <c r="G430" s="3" t="s">
        <v>30</v>
      </c>
      <c r="H430" s="3">
        <v>2</v>
      </c>
      <c r="I430" s="4">
        <v>60</v>
      </c>
      <c r="J430" s="3">
        <v>200</v>
      </c>
      <c r="K430" s="3">
        <v>5</v>
      </c>
      <c r="L430" s="3">
        <v>380</v>
      </c>
      <c r="M430" s="3">
        <v>260</v>
      </c>
      <c r="N430" s="3" t="s">
        <v>19</v>
      </c>
      <c r="O430" s="3" t="str">
        <f t="shared" si="6"/>
        <v>YES</v>
      </c>
      <c r="P430" s="3" t="s">
        <v>387</v>
      </c>
      <c r="Q430" s="3" t="s">
        <v>15</v>
      </c>
    </row>
    <row r="431" spans="1:17" x14ac:dyDescent="0.25">
      <c r="A431" s="2">
        <v>45674</v>
      </c>
      <c r="B431" s="2" t="s">
        <v>489</v>
      </c>
      <c r="C431" s="2" t="s">
        <v>484</v>
      </c>
      <c r="D431" s="3" t="s">
        <v>32</v>
      </c>
      <c r="E431" s="3" t="s">
        <v>39</v>
      </c>
      <c r="F431" s="3" t="s">
        <v>33</v>
      </c>
      <c r="G431" s="3" t="s">
        <v>50</v>
      </c>
      <c r="H431" s="3">
        <v>10</v>
      </c>
      <c r="I431" s="4">
        <v>112.5</v>
      </c>
      <c r="J431" s="3">
        <v>150</v>
      </c>
      <c r="K431" s="3">
        <v>10</v>
      </c>
      <c r="L431" s="3">
        <v>1350</v>
      </c>
      <c r="M431" s="3">
        <v>225</v>
      </c>
      <c r="N431" s="3" t="s">
        <v>19</v>
      </c>
      <c r="O431" s="3" t="str">
        <f t="shared" si="6"/>
        <v>YES</v>
      </c>
      <c r="P431" s="3" t="s">
        <v>388</v>
      </c>
      <c r="Q431" s="3" t="s">
        <v>41</v>
      </c>
    </row>
    <row r="432" spans="1:17" x14ac:dyDescent="0.25">
      <c r="A432" s="2">
        <v>45911</v>
      </c>
      <c r="B432" s="2" t="s">
        <v>483</v>
      </c>
      <c r="C432" s="2" t="s">
        <v>496</v>
      </c>
      <c r="D432" s="3" t="s">
        <v>9</v>
      </c>
      <c r="E432" s="3" t="s">
        <v>23</v>
      </c>
      <c r="F432" s="3" t="s">
        <v>24</v>
      </c>
      <c r="G432" s="3" t="s">
        <v>42</v>
      </c>
      <c r="H432" s="3">
        <v>1</v>
      </c>
      <c r="I432" s="4">
        <v>112.5</v>
      </c>
      <c r="J432" s="3">
        <v>250</v>
      </c>
      <c r="K432" s="3">
        <v>5</v>
      </c>
      <c r="L432" s="3">
        <v>237.5</v>
      </c>
      <c r="M432" s="3">
        <v>125</v>
      </c>
      <c r="N432" s="3" t="s">
        <v>19</v>
      </c>
      <c r="O432" s="3" t="str">
        <f t="shared" si="6"/>
        <v>YES</v>
      </c>
      <c r="P432" s="3" t="s">
        <v>389</v>
      </c>
      <c r="Q432" s="3" t="s">
        <v>45</v>
      </c>
    </row>
    <row r="433" spans="1:17" x14ac:dyDescent="0.25">
      <c r="A433" s="2">
        <v>45676</v>
      </c>
      <c r="B433" s="2" t="s">
        <v>489</v>
      </c>
      <c r="C433" s="2" t="s">
        <v>488</v>
      </c>
      <c r="D433" s="3" t="s">
        <v>22</v>
      </c>
      <c r="E433" s="3" t="s">
        <v>39</v>
      </c>
      <c r="F433" s="3" t="s">
        <v>24</v>
      </c>
      <c r="G433" s="3" t="s">
        <v>71</v>
      </c>
      <c r="H433" s="3">
        <v>5</v>
      </c>
      <c r="I433" s="4">
        <v>22.5</v>
      </c>
      <c r="J433" s="3">
        <v>50</v>
      </c>
      <c r="K433" s="3">
        <v>20</v>
      </c>
      <c r="L433" s="3">
        <v>200</v>
      </c>
      <c r="M433" s="3">
        <v>87.5</v>
      </c>
      <c r="N433" s="3" t="s">
        <v>13</v>
      </c>
      <c r="O433" s="3" t="str">
        <f t="shared" si="6"/>
        <v>YES</v>
      </c>
      <c r="P433" s="3" t="s">
        <v>179</v>
      </c>
      <c r="Q433" s="3" t="s">
        <v>61</v>
      </c>
    </row>
    <row r="434" spans="1:17" x14ac:dyDescent="0.25">
      <c r="A434" s="2">
        <v>45812</v>
      </c>
      <c r="B434" s="2" t="s">
        <v>497</v>
      </c>
      <c r="C434" s="2" t="s">
        <v>487</v>
      </c>
      <c r="D434" s="3" t="s">
        <v>32</v>
      </c>
      <c r="E434" s="3" t="s">
        <v>70</v>
      </c>
      <c r="F434" s="3" t="s">
        <v>33</v>
      </c>
      <c r="G434" s="3" t="s">
        <v>50</v>
      </c>
      <c r="H434" s="3">
        <v>3</v>
      </c>
      <c r="I434" s="4">
        <v>45</v>
      </c>
      <c r="J434" s="3">
        <v>150</v>
      </c>
      <c r="K434" s="3">
        <v>5</v>
      </c>
      <c r="L434" s="3">
        <v>427.5</v>
      </c>
      <c r="M434" s="3">
        <v>292.5</v>
      </c>
      <c r="N434" s="3" t="s">
        <v>13</v>
      </c>
      <c r="O434" s="3" t="str">
        <f t="shared" si="6"/>
        <v>YES</v>
      </c>
      <c r="P434" s="3" t="s">
        <v>390</v>
      </c>
      <c r="Q434" s="3" t="s">
        <v>61</v>
      </c>
    </row>
    <row r="435" spans="1:17" x14ac:dyDescent="0.25">
      <c r="A435" s="2">
        <v>46009</v>
      </c>
      <c r="B435" s="2" t="s">
        <v>498</v>
      </c>
      <c r="C435" s="2" t="s">
        <v>496</v>
      </c>
      <c r="D435" s="3" t="s">
        <v>32</v>
      </c>
      <c r="E435" s="3" t="s">
        <v>39</v>
      </c>
      <c r="F435" s="3" t="s">
        <v>29</v>
      </c>
      <c r="G435" s="3" t="s">
        <v>54</v>
      </c>
      <c r="H435" s="3">
        <v>2</v>
      </c>
      <c r="I435" s="4">
        <v>60</v>
      </c>
      <c r="J435" s="3">
        <v>100</v>
      </c>
      <c r="K435" s="3">
        <v>0</v>
      </c>
      <c r="L435" s="3">
        <v>200</v>
      </c>
      <c r="M435" s="3">
        <v>80</v>
      </c>
      <c r="N435" s="3" t="s">
        <v>19</v>
      </c>
      <c r="O435" s="3" t="str">
        <f t="shared" si="6"/>
        <v>NO</v>
      </c>
      <c r="P435" s="3" t="s">
        <v>377</v>
      </c>
      <c r="Q435" s="3" t="s">
        <v>61</v>
      </c>
    </row>
    <row r="436" spans="1:17" x14ac:dyDescent="0.25">
      <c r="A436" s="2">
        <v>45711</v>
      </c>
      <c r="B436" s="2" t="s">
        <v>500</v>
      </c>
      <c r="C436" s="2" t="s">
        <v>488</v>
      </c>
      <c r="D436" s="3" t="s">
        <v>27</v>
      </c>
      <c r="E436" s="3" t="s">
        <v>70</v>
      </c>
      <c r="F436" s="3" t="s">
        <v>24</v>
      </c>
      <c r="G436" s="3" t="s">
        <v>71</v>
      </c>
      <c r="H436" s="3">
        <v>1</v>
      </c>
      <c r="I436" s="4">
        <v>67.5</v>
      </c>
      <c r="J436" s="3">
        <v>150</v>
      </c>
      <c r="K436" s="3">
        <v>0</v>
      </c>
      <c r="L436" s="3">
        <v>150</v>
      </c>
      <c r="M436" s="3">
        <v>82.5</v>
      </c>
      <c r="N436" s="3" t="s">
        <v>13</v>
      </c>
      <c r="O436" s="3" t="str">
        <f t="shared" si="6"/>
        <v>NO</v>
      </c>
      <c r="P436" s="3" t="s">
        <v>72</v>
      </c>
      <c r="Q436" s="3" t="s">
        <v>45</v>
      </c>
    </row>
    <row r="437" spans="1:17" x14ac:dyDescent="0.25">
      <c r="A437" s="2">
        <v>45956</v>
      </c>
      <c r="B437" s="2" t="s">
        <v>499</v>
      </c>
      <c r="C437" s="2" t="s">
        <v>488</v>
      </c>
      <c r="D437" s="3" t="s">
        <v>27</v>
      </c>
      <c r="E437" s="3" t="s">
        <v>23</v>
      </c>
      <c r="F437" s="3" t="s">
        <v>29</v>
      </c>
      <c r="G437" s="3" t="s">
        <v>83</v>
      </c>
      <c r="H437" s="3">
        <v>2</v>
      </c>
      <c r="I437" s="4">
        <v>100</v>
      </c>
      <c r="J437" s="3">
        <v>150</v>
      </c>
      <c r="K437" s="3">
        <v>0</v>
      </c>
      <c r="L437" s="3">
        <v>300</v>
      </c>
      <c r="M437" s="3">
        <v>100</v>
      </c>
      <c r="N437" s="3" t="s">
        <v>19</v>
      </c>
      <c r="O437" s="3" t="str">
        <f t="shared" si="6"/>
        <v>NO</v>
      </c>
      <c r="P437" s="3" t="s">
        <v>363</v>
      </c>
      <c r="Q437" s="3" t="s">
        <v>15</v>
      </c>
    </row>
    <row r="438" spans="1:17" x14ac:dyDescent="0.25">
      <c r="A438" s="2">
        <v>45902</v>
      </c>
      <c r="B438" s="2" t="s">
        <v>483</v>
      </c>
      <c r="C438" s="2" t="s">
        <v>493</v>
      </c>
      <c r="D438" s="3" t="s">
        <v>9</v>
      </c>
      <c r="E438" s="3" t="s">
        <v>23</v>
      </c>
      <c r="F438" s="3" t="s">
        <v>29</v>
      </c>
      <c r="G438" s="3" t="s">
        <v>83</v>
      </c>
      <c r="H438" s="3">
        <v>2</v>
      </c>
      <c r="I438" s="4">
        <v>60</v>
      </c>
      <c r="J438" s="3">
        <v>250</v>
      </c>
      <c r="K438" s="3">
        <v>0</v>
      </c>
      <c r="L438" s="3">
        <v>500</v>
      </c>
      <c r="M438" s="3">
        <v>380</v>
      </c>
      <c r="N438" s="3" t="s">
        <v>19</v>
      </c>
      <c r="O438" s="3" t="str">
        <f t="shared" si="6"/>
        <v>NO</v>
      </c>
      <c r="P438" s="3" t="s">
        <v>391</v>
      </c>
      <c r="Q438" s="3" t="s">
        <v>15</v>
      </c>
    </row>
    <row r="439" spans="1:17" x14ac:dyDescent="0.25">
      <c r="A439" s="2">
        <v>45817</v>
      </c>
      <c r="B439" s="2" t="s">
        <v>497</v>
      </c>
      <c r="C439" s="2" t="s">
        <v>491</v>
      </c>
      <c r="D439" s="3" t="s">
        <v>9</v>
      </c>
      <c r="E439" s="3" t="s">
        <v>16</v>
      </c>
      <c r="F439" s="3" t="s">
        <v>33</v>
      </c>
      <c r="G439" s="3" t="s">
        <v>34</v>
      </c>
      <c r="H439" s="3">
        <v>2</v>
      </c>
      <c r="I439" s="4">
        <v>45</v>
      </c>
      <c r="J439" s="3">
        <v>150</v>
      </c>
      <c r="K439" s="3">
        <v>5</v>
      </c>
      <c r="L439" s="3">
        <v>285</v>
      </c>
      <c r="M439" s="3">
        <v>195</v>
      </c>
      <c r="N439" s="3" t="s">
        <v>19</v>
      </c>
      <c r="O439" s="3" t="str">
        <f t="shared" si="6"/>
        <v>YES</v>
      </c>
      <c r="P439" s="3" t="s">
        <v>392</v>
      </c>
      <c r="Q439" s="3" t="s">
        <v>15</v>
      </c>
    </row>
    <row r="440" spans="1:17" x14ac:dyDescent="0.25">
      <c r="A440" s="2">
        <v>45782</v>
      </c>
      <c r="B440" s="2" t="s">
        <v>492</v>
      </c>
      <c r="C440" s="2" t="s">
        <v>491</v>
      </c>
      <c r="D440" s="3" t="s">
        <v>27</v>
      </c>
      <c r="E440" s="3" t="s">
        <v>23</v>
      </c>
      <c r="F440" s="3" t="s">
        <v>24</v>
      </c>
      <c r="G440" s="3" t="s">
        <v>81</v>
      </c>
      <c r="H440" s="3">
        <v>2</v>
      </c>
      <c r="I440" s="4">
        <v>45</v>
      </c>
      <c r="J440" s="3">
        <v>100</v>
      </c>
      <c r="K440" s="3">
        <v>20</v>
      </c>
      <c r="L440" s="3">
        <v>160</v>
      </c>
      <c r="M440" s="3">
        <v>70</v>
      </c>
      <c r="N440" s="3" t="s">
        <v>35</v>
      </c>
      <c r="O440" s="3" t="str">
        <f t="shared" si="6"/>
        <v>YES</v>
      </c>
      <c r="P440" s="3" t="s">
        <v>393</v>
      </c>
      <c r="Q440" s="3" t="s">
        <v>37</v>
      </c>
    </row>
    <row r="441" spans="1:17" x14ac:dyDescent="0.25">
      <c r="A441" s="2">
        <v>45719</v>
      </c>
      <c r="B441" s="2" t="s">
        <v>494</v>
      </c>
      <c r="C441" s="2" t="s">
        <v>491</v>
      </c>
      <c r="D441" s="3" t="s">
        <v>38</v>
      </c>
      <c r="E441" s="3" t="s">
        <v>16</v>
      </c>
      <c r="F441" s="3" t="s">
        <v>11</v>
      </c>
      <c r="G441" s="3" t="s">
        <v>12</v>
      </c>
      <c r="H441" s="3">
        <v>1</v>
      </c>
      <c r="I441" s="4">
        <v>60</v>
      </c>
      <c r="J441" s="3">
        <v>200</v>
      </c>
      <c r="K441" s="3">
        <v>5</v>
      </c>
      <c r="L441" s="3">
        <v>190</v>
      </c>
      <c r="M441" s="3">
        <v>130</v>
      </c>
      <c r="N441" s="3" t="s">
        <v>35</v>
      </c>
      <c r="O441" s="3" t="str">
        <f t="shared" si="6"/>
        <v>YES</v>
      </c>
      <c r="P441" s="3" t="s">
        <v>394</v>
      </c>
      <c r="Q441" s="3" t="s">
        <v>37</v>
      </c>
    </row>
    <row r="442" spans="1:17" x14ac:dyDescent="0.25">
      <c r="A442" s="2">
        <v>45801</v>
      </c>
      <c r="B442" s="2" t="s">
        <v>492</v>
      </c>
      <c r="C442" s="2" t="s">
        <v>490</v>
      </c>
      <c r="D442" s="3" t="s">
        <v>27</v>
      </c>
      <c r="E442" s="3" t="s">
        <v>28</v>
      </c>
      <c r="F442" s="3" t="s">
        <v>17</v>
      </c>
      <c r="G442" s="3" t="s">
        <v>18</v>
      </c>
      <c r="H442" s="3">
        <v>5</v>
      </c>
      <c r="I442" s="4">
        <v>20</v>
      </c>
      <c r="J442" s="3">
        <v>100</v>
      </c>
      <c r="K442" s="3">
        <v>10</v>
      </c>
      <c r="L442" s="3">
        <v>450</v>
      </c>
      <c r="M442" s="3">
        <v>350</v>
      </c>
      <c r="N442" s="3" t="s">
        <v>35</v>
      </c>
      <c r="O442" s="3" t="str">
        <f t="shared" si="6"/>
        <v>YES</v>
      </c>
      <c r="P442" s="3" t="s">
        <v>204</v>
      </c>
      <c r="Q442" s="3" t="s">
        <v>15</v>
      </c>
    </row>
    <row r="443" spans="1:17" x14ac:dyDescent="0.25">
      <c r="A443" s="2">
        <v>45724</v>
      </c>
      <c r="B443" s="2" t="s">
        <v>494</v>
      </c>
      <c r="C443" s="2" t="s">
        <v>490</v>
      </c>
      <c r="D443" s="3" t="s">
        <v>27</v>
      </c>
      <c r="E443" s="3" t="s">
        <v>70</v>
      </c>
      <c r="F443" s="3" t="s">
        <v>29</v>
      </c>
      <c r="G443" s="3" t="s">
        <v>30</v>
      </c>
      <c r="H443" s="3">
        <v>1</v>
      </c>
      <c r="I443" s="4">
        <v>80</v>
      </c>
      <c r="J443" s="3">
        <v>50</v>
      </c>
      <c r="K443" s="3">
        <v>0</v>
      </c>
      <c r="L443" s="3">
        <v>50</v>
      </c>
      <c r="M443" s="3">
        <v>-30</v>
      </c>
      <c r="N443" s="3" t="s">
        <v>35</v>
      </c>
      <c r="O443" s="3" t="str">
        <f t="shared" si="6"/>
        <v>NO</v>
      </c>
      <c r="P443" s="3" t="s">
        <v>232</v>
      </c>
      <c r="Q443" s="3" t="s">
        <v>61</v>
      </c>
    </row>
    <row r="444" spans="1:17" x14ac:dyDescent="0.25">
      <c r="A444" s="2">
        <v>45965</v>
      </c>
      <c r="B444" s="2" t="s">
        <v>485</v>
      </c>
      <c r="C444" s="2" t="s">
        <v>493</v>
      </c>
      <c r="D444" s="3" t="s">
        <v>27</v>
      </c>
      <c r="E444" s="3" t="s">
        <v>58</v>
      </c>
      <c r="F444" s="3" t="s">
        <v>24</v>
      </c>
      <c r="G444" s="3" t="s">
        <v>25</v>
      </c>
      <c r="H444" s="3">
        <v>5</v>
      </c>
      <c r="I444" s="4">
        <v>90</v>
      </c>
      <c r="J444" s="3">
        <v>200</v>
      </c>
      <c r="K444" s="3">
        <v>5</v>
      </c>
      <c r="L444" s="3">
        <v>950</v>
      </c>
      <c r="M444" s="3">
        <v>500</v>
      </c>
      <c r="N444" s="3" t="s">
        <v>13</v>
      </c>
      <c r="O444" s="3" t="str">
        <f t="shared" si="6"/>
        <v>YES</v>
      </c>
      <c r="P444" s="3" t="s">
        <v>191</v>
      </c>
      <c r="Q444" s="3" t="s">
        <v>41</v>
      </c>
    </row>
    <row r="445" spans="1:17" x14ac:dyDescent="0.25">
      <c r="A445" s="2">
        <v>45828</v>
      </c>
      <c r="B445" s="2" t="s">
        <v>497</v>
      </c>
      <c r="C445" s="2" t="s">
        <v>484</v>
      </c>
      <c r="D445" s="3" t="s">
        <v>22</v>
      </c>
      <c r="E445" s="3" t="s">
        <v>28</v>
      </c>
      <c r="F445" s="3" t="s">
        <v>33</v>
      </c>
      <c r="G445" s="3" t="s">
        <v>50</v>
      </c>
      <c r="H445" s="3">
        <v>2</v>
      </c>
      <c r="I445" s="4">
        <v>67.5</v>
      </c>
      <c r="J445" s="3">
        <v>200</v>
      </c>
      <c r="K445" s="3">
        <v>0</v>
      </c>
      <c r="L445" s="3">
        <v>400</v>
      </c>
      <c r="M445" s="3">
        <v>265</v>
      </c>
      <c r="N445" s="3" t="s">
        <v>13</v>
      </c>
      <c r="O445" s="3" t="str">
        <f t="shared" si="6"/>
        <v>NO</v>
      </c>
      <c r="P445" s="3" t="s">
        <v>227</v>
      </c>
      <c r="Q445" s="3" t="s">
        <v>15</v>
      </c>
    </row>
    <row r="446" spans="1:17" x14ac:dyDescent="0.25">
      <c r="A446" s="2">
        <v>45717</v>
      </c>
      <c r="B446" s="2" t="s">
        <v>494</v>
      </c>
      <c r="C446" s="2" t="s">
        <v>490</v>
      </c>
      <c r="D446" s="3" t="s">
        <v>32</v>
      </c>
      <c r="E446" s="3" t="s">
        <v>16</v>
      </c>
      <c r="F446" s="3" t="s">
        <v>24</v>
      </c>
      <c r="G446" s="3" t="s">
        <v>71</v>
      </c>
      <c r="H446" s="3">
        <v>1</v>
      </c>
      <c r="I446" s="4">
        <v>67.5</v>
      </c>
      <c r="J446" s="3">
        <v>150</v>
      </c>
      <c r="K446" s="3">
        <v>0</v>
      </c>
      <c r="L446" s="3">
        <v>150</v>
      </c>
      <c r="M446" s="3">
        <v>82.5</v>
      </c>
      <c r="N446" s="3" t="s">
        <v>19</v>
      </c>
      <c r="O446" s="3" t="str">
        <f t="shared" si="6"/>
        <v>NO</v>
      </c>
      <c r="P446" s="3" t="s">
        <v>334</v>
      </c>
      <c r="Q446" s="3" t="s">
        <v>41</v>
      </c>
    </row>
    <row r="447" spans="1:17" x14ac:dyDescent="0.25">
      <c r="A447" s="2">
        <v>45748</v>
      </c>
      <c r="B447" s="2" t="s">
        <v>486</v>
      </c>
      <c r="C447" s="2" t="s">
        <v>493</v>
      </c>
      <c r="D447" s="3" t="s">
        <v>32</v>
      </c>
      <c r="E447" s="3" t="s">
        <v>23</v>
      </c>
      <c r="F447" s="3" t="s">
        <v>29</v>
      </c>
      <c r="G447" s="3" t="s">
        <v>47</v>
      </c>
      <c r="H447" s="3">
        <v>10</v>
      </c>
      <c r="I447" s="4">
        <v>100</v>
      </c>
      <c r="J447" s="3">
        <v>200</v>
      </c>
      <c r="K447" s="3">
        <v>15</v>
      </c>
      <c r="L447" s="3">
        <v>1700</v>
      </c>
      <c r="M447" s="3">
        <v>700</v>
      </c>
      <c r="N447" s="3" t="s">
        <v>19</v>
      </c>
      <c r="O447" s="3" t="str">
        <f t="shared" si="6"/>
        <v>YES</v>
      </c>
      <c r="P447" s="3" t="s">
        <v>386</v>
      </c>
      <c r="Q447" s="3" t="s">
        <v>15</v>
      </c>
    </row>
    <row r="448" spans="1:17" x14ac:dyDescent="0.25">
      <c r="A448" s="2">
        <v>45988</v>
      </c>
      <c r="B448" s="2" t="s">
        <v>485</v>
      </c>
      <c r="C448" s="2" t="s">
        <v>496</v>
      </c>
      <c r="D448" s="3" t="s">
        <v>38</v>
      </c>
      <c r="E448" s="3" t="s">
        <v>10</v>
      </c>
      <c r="F448" s="3" t="s">
        <v>11</v>
      </c>
      <c r="G448" s="3" t="s">
        <v>131</v>
      </c>
      <c r="H448" s="3">
        <v>2</v>
      </c>
      <c r="I448" s="4">
        <v>75</v>
      </c>
      <c r="J448" s="3">
        <v>250</v>
      </c>
      <c r="K448" s="3">
        <v>15</v>
      </c>
      <c r="L448" s="3">
        <v>425</v>
      </c>
      <c r="M448" s="3">
        <v>275</v>
      </c>
      <c r="N448" s="3" t="s">
        <v>13</v>
      </c>
      <c r="O448" s="3" t="str">
        <f t="shared" si="6"/>
        <v>YES</v>
      </c>
      <c r="P448" s="3" t="s">
        <v>395</v>
      </c>
      <c r="Q448" s="3" t="s">
        <v>45</v>
      </c>
    </row>
    <row r="449" spans="1:17" x14ac:dyDescent="0.25">
      <c r="A449" s="2">
        <v>45757</v>
      </c>
      <c r="B449" s="2" t="s">
        <v>486</v>
      </c>
      <c r="C449" s="2" t="s">
        <v>496</v>
      </c>
      <c r="D449" s="3" t="s">
        <v>38</v>
      </c>
      <c r="E449" s="3" t="s">
        <v>10</v>
      </c>
      <c r="F449" s="3" t="s">
        <v>24</v>
      </c>
      <c r="G449" s="3" t="s">
        <v>81</v>
      </c>
      <c r="H449" s="3">
        <v>3</v>
      </c>
      <c r="I449" s="4">
        <v>67.5</v>
      </c>
      <c r="J449" s="3">
        <v>150</v>
      </c>
      <c r="K449" s="3">
        <v>0</v>
      </c>
      <c r="L449" s="3">
        <v>450</v>
      </c>
      <c r="M449" s="3">
        <v>247.5</v>
      </c>
      <c r="N449" s="3" t="s">
        <v>13</v>
      </c>
      <c r="O449" s="3" t="str">
        <f t="shared" si="6"/>
        <v>NO</v>
      </c>
      <c r="P449" s="3" t="s">
        <v>172</v>
      </c>
      <c r="Q449" s="3" t="s">
        <v>45</v>
      </c>
    </row>
    <row r="450" spans="1:17" x14ac:dyDescent="0.25">
      <c r="A450" s="2">
        <v>45955</v>
      </c>
      <c r="B450" s="2" t="s">
        <v>499</v>
      </c>
      <c r="C450" s="2" t="s">
        <v>490</v>
      </c>
      <c r="D450" s="3" t="s">
        <v>9</v>
      </c>
      <c r="E450" s="3" t="s">
        <v>58</v>
      </c>
      <c r="F450" s="3" t="s">
        <v>17</v>
      </c>
      <c r="G450" s="3" t="s">
        <v>107</v>
      </c>
      <c r="H450" s="3">
        <v>3</v>
      </c>
      <c r="I450" s="4">
        <v>20</v>
      </c>
      <c r="J450" s="3">
        <v>100</v>
      </c>
      <c r="K450" s="3">
        <v>15</v>
      </c>
      <c r="L450" s="3">
        <v>255</v>
      </c>
      <c r="M450" s="3">
        <v>195</v>
      </c>
      <c r="N450" s="3" t="s">
        <v>19</v>
      </c>
      <c r="O450" s="3" t="str">
        <f t="shared" si="6"/>
        <v>YES</v>
      </c>
      <c r="P450" s="3" t="s">
        <v>82</v>
      </c>
      <c r="Q450" s="3" t="s">
        <v>37</v>
      </c>
    </row>
    <row r="451" spans="1:17" x14ac:dyDescent="0.25">
      <c r="A451" s="2">
        <v>45863</v>
      </c>
      <c r="B451" s="2" t="s">
        <v>501</v>
      </c>
      <c r="C451" s="2" t="s">
        <v>484</v>
      </c>
      <c r="D451" s="3" t="s">
        <v>27</v>
      </c>
      <c r="E451" s="3" t="s">
        <v>28</v>
      </c>
      <c r="F451" s="3" t="s">
        <v>11</v>
      </c>
      <c r="G451" s="3" t="s">
        <v>131</v>
      </c>
      <c r="H451" s="3">
        <v>2</v>
      </c>
      <c r="I451" s="4">
        <v>30</v>
      </c>
      <c r="J451" s="3">
        <v>100</v>
      </c>
      <c r="K451" s="3">
        <v>5</v>
      </c>
      <c r="L451" s="3">
        <v>190</v>
      </c>
      <c r="M451" s="3">
        <v>130</v>
      </c>
      <c r="N451" s="3" t="s">
        <v>35</v>
      </c>
      <c r="O451" s="3" t="str">
        <f t="shared" ref="O451:O514" si="7">IF(K451&gt;0,"YES","NO")</f>
        <v>YES</v>
      </c>
      <c r="P451" s="3" t="s">
        <v>372</v>
      </c>
      <c r="Q451" s="3" t="s">
        <v>15</v>
      </c>
    </row>
    <row r="452" spans="1:17" x14ac:dyDescent="0.25">
      <c r="A452" s="2">
        <v>45736</v>
      </c>
      <c r="B452" s="2" t="s">
        <v>494</v>
      </c>
      <c r="C452" s="2" t="s">
        <v>496</v>
      </c>
      <c r="D452" s="3" t="s">
        <v>22</v>
      </c>
      <c r="E452" s="3" t="s">
        <v>10</v>
      </c>
      <c r="F452" s="3" t="s">
        <v>17</v>
      </c>
      <c r="G452" s="3" t="s">
        <v>56</v>
      </c>
      <c r="H452" s="3">
        <v>10</v>
      </c>
      <c r="I452" s="4">
        <v>10</v>
      </c>
      <c r="J452" s="3">
        <v>50</v>
      </c>
      <c r="K452" s="3">
        <v>10</v>
      </c>
      <c r="L452" s="3">
        <v>450</v>
      </c>
      <c r="M452" s="3">
        <v>350</v>
      </c>
      <c r="N452" s="3" t="s">
        <v>13</v>
      </c>
      <c r="O452" s="3" t="str">
        <f t="shared" si="7"/>
        <v>YES</v>
      </c>
      <c r="P452" s="3" t="s">
        <v>229</v>
      </c>
      <c r="Q452" s="3" t="s">
        <v>41</v>
      </c>
    </row>
    <row r="453" spans="1:17" x14ac:dyDescent="0.25">
      <c r="A453" s="2">
        <v>45816</v>
      </c>
      <c r="B453" s="2" t="s">
        <v>497</v>
      </c>
      <c r="C453" s="2" t="s">
        <v>488</v>
      </c>
      <c r="D453" s="3" t="s">
        <v>32</v>
      </c>
      <c r="E453" s="3" t="s">
        <v>16</v>
      </c>
      <c r="F453" s="3" t="s">
        <v>11</v>
      </c>
      <c r="G453" s="3" t="s">
        <v>115</v>
      </c>
      <c r="H453" s="3">
        <v>2</v>
      </c>
      <c r="I453" s="4">
        <v>45</v>
      </c>
      <c r="J453" s="3">
        <v>150</v>
      </c>
      <c r="K453" s="3">
        <v>20</v>
      </c>
      <c r="L453" s="3">
        <v>240</v>
      </c>
      <c r="M453" s="3">
        <v>150</v>
      </c>
      <c r="N453" s="3" t="s">
        <v>35</v>
      </c>
      <c r="O453" s="3" t="str">
        <f t="shared" si="7"/>
        <v>YES</v>
      </c>
      <c r="P453" s="3" t="s">
        <v>396</v>
      </c>
      <c r="Q453" s="3" t="s">
        <v>15</v>
      </c>
    </row>
    <row r="454" spans="1:17" x14ac:dyDescent="0.25">
      <c r="A454" s="2">
        <v>45764</v>
      </c>
      <c r="B454" s="2" t="s">
        <v>486</v>
      </c>
      <c r="C454" s="2" t="s">
        <v>496</v>
      </c>
      <c r="D454" s="3" t="s">
        <v>27</v>
      </c>
      <c r="E454" s="3" t="s">
        <v>28</v>
      </c>
      <c r="F454" s="3" t="s">
        <v>11</v>
      </c>
      <c r="G454" s="3" t="s">
        <v>12</v>
      </c>
      <c r="H454" s="3">
        <v>2</v>
      </c>
      <c r="I454" s="4">
        <v>15</v>
      </c>
      <c r="J454" s="3">
        <v>50</v>
      </c>
      <c r="K454" s="3">
        <v>15</v>
      </c>
      <c r="L454" s="3">
        <v>85</v>
      </c>
      <c r="M454" s="3">
        <v>55</v>
      </c>
      <c r="N454" s="3" t="s">
        <v>35</v>
      </c>
      <c r="O454" s="3" t="str">
        <f t="shared" si="7"/>
        <v>YES</v>
      </c>
      <c r="P454" s="3" t="s">
        <v>397</v>
      </c>
      <c r="Q454" s="3" t="s">
        <v>45</v>
      </c>
    </row>
    <row r="455" spans="1:17" x14ac:dyDescent="0.25">
      <c r="A455" s="2">
        <v>45781</v>
      </c>
      <c r="B455" s="2" t="s">
        <v>492</v>
      </c>
      <c r="C455" s="2" t="s">
        <v>488</v>
      </c>
      <c r="D455" s="3" t="s">
        <v>38</v>
      </c>
      <c r="E455" s="3" t="s">
        <v>16</v>
      </c>
      <c r="F455" s="3" t="s">
        <v>11</v>
      </c>
      <c r="G455" s="3" t="s">
        <v>59</v>
      </c>
      <c r="H455" s="3">
        <v>2</v>
      </c>
      <c r="I455" s="4">
        <v>15</v>
      </c>
      <c r="J455" s="3">
        <v>50</v>
      </c>
      <c r="K455" s="3">
        <v>5</v>
      </c>
      <c r="L455" s="3">
        <v>95</v>
      </c>
      <c r="M455" s="3">
        <v>65</v>
      </c>
      <c r="N455" s="3" t="s">
        <v>13</v>
      </c>
      <c r="O455" s="3" t="str">
        <f t="shared" si="7"/>
        <v>YES</v>
      </c>
      <c r="P455" s="3" t="s">
        <v>398</v>
      </c>
      <c r="Q455" s="3" t="s">
        <v>21</v>
      </c>
    </row>
    <row r="456" spans="1:17" x14ac:dyDescent="0.25">
      <c r="A456" s="2">
        <v>46005</v>
      </c>
      <c r="B456" s="2" t="s">
        <v>498</v>
      </c>
      <c r="C456" s="2" t="s">
        <v>488</v>
      </c>
      <c r="D456" s="3" t="s">
        <v>27</v>
      </c>
      <c r="E456" s="3" t="s">
        <v>10</v>
      </c>
      <c r="F456" s="3" t="s">
        <v>24</v>
      </c>
      <c r="G456" s="3" t="s">
        <v>71</v>
      </c>
      <c r="H456" s="3">
        <v>10</v>
      </c>
      <c r="I456" s="4">
        <v>45</v>
      </c>
      <c r="J456" s="3">
        <v>100</v>
      </c>
      <c r="K456" s="3">
        <v>10</v>
      </c>
      <c r="L456" s="3">
        <v>900</v>
      </c>
      <c r="M456" s="3">
        <v>450</v>
      </c>
      <c r="N456" s="3" t="s">
        <v>19</v>
      </c>
      <c r="O456" s="3" t="str">
        <f t="shared" si="7"/>
        <v>YES</v>
      </c>
      <c r="P456" s="3" t="s">
        <v>399</v>
      </c>
      <c r="Q456" s="3" t="s">
        <v>15</v>
      </c>
    </row>
    <row r="457" spans="1:17" x14ac:dyDescent="0.25">
      <c r="A457" s="2">
        <v>45705</v>
      </c>
      <c r="B457" s="2" t="s">
        <v>500</v>
      </c>
      <c r="C457" s="2" t="s">
        <v>491</v>
      </c>
      <c r="D457" s="3" t="s">
        <v>9</v>
      </c>
      <c r="E457" s="3" t="s">
        <v>10</v>
      </c>
      <c r="F457" s="3" t="s">
        <v>11</v>
      </c>
      <c r="G457" s="3" t="s">
        <v>105</v>
      </c>
      <c r="H457" s="3">
        <v>3</v>
      </c>
      <c r="I457" s="4">
        <v>60</v>
      </c>
      <c r="J457" s="3">
        <v>200</v>
      </c>
      <c r="K457" s="3">
        <v>5</v>
      </c>
      <c r="L457" s="3">
        <v>570</v>
      </c>
      <c r="M457" s="3">
        <v>390</v>
      </c>
      <c r="N457" s="3" t="s">
        <v>13</v>
      </c>
      <c r="O457" s="3" t="str">
        <f t="shared" si="7"/>
        <v>YES</v>
      </c>
      <c r="P457" s="3" t="s">
        <v>297</v>
      </c>
      <c r="Q457" s="3" t="s">
        <v>41</v>
      </c>
    </row>
    <row r="458" spans="1:17" x14ac:dyDescent="0.25">
      <c r="A458" s="2">
        <v>45663</v>
      </c>
      <c r="B458" s="2" t="s">
        <v>489</v>
      </c>
      <c r="C458" s="2" t="s">
        <v>491</v>
      </c>
      <c r="D458" s="3" t="s">
        <v>38</v>
      </c>
      <c r="E458" s="3" t="s">
        <v>28</v>
      </c>
      <c r="F458" s="3" t="s">
        <v>29</v>
      </c>
      <c r="G458" s="3" t="s">
        <v>54</v>
      </c>
      <c r="H458" s="3">
        <v>10</v>
      </c>
      <c r="I458" s="4">
        <v>80</v>
      </c>
      <c r="J458" s="3">
        <v>150</v>
      </c>
      <c r="K458" s="3">
        <v>5</v>
      </c>
      <c r="L458" s="3">
        <v>1425</v>
      </c>
      <c r="M458" s="3">
        <v>625</v>
      </c>
      <c r="N458" s="3" t="s">
        <v>13</v>
      </c>
      <c r="O458" s="3" t="str">
        <f t="shared" si="7"/>
        <v>YES</v>
      </c>
      <c r="P458" s="3" t="s">
        <v>265</v>
      </c>
      <c r="Q458" s="3" t="s">
        <v>21</v>
      </c>
    </row>
    <row r="459" spans="1:17" x14ac:dyDescent="0.25">
      <c r="A459" s="2">
        <v>45690</v>
      </c>
      <c r="B459" s="2" t="s">
        <v>500</v>
      </c>
      <c r="C459" s="2" t="s">
        <v>488</v>
      </c>
      <c r="D459" s="3" t="s">
        <v>32</v>
      </c>
      <c r="E459" s="3" t="s">
        <v>58</v>
      </c>
      <c r="F459" s="3" t="s">
        <v>29</v>
      </c>
      <c r="G459" s="3" t="s">
        <v>30</v>
      </c>
      <c r="H459" s="3">
        <v>2</v>
      </c>
      <c r="I459" s="4">
        <v>40</v>
      </c>
      <c r="J459" s="3">
        <v>200</v>
      </c>
      <c r="K459" s="3">
        <v>5</v>
      </c>
      <c r="L459" s="3">
        <v>380</v>
      </c>
      <c r="M459" s="3">
        <v>300</v>
      </c>
      <c r="N459" s="3" t="s">
        <v>35</v>
      </c>
      <c r="O459" s="3" t="str">
        <f t="shared" si="7"/>
        <v>YES</v>
      </c>
      <c r="P459" s="3" t="s">
        <v>134</v>
      </c>
      <c r="Q459" s="3" t="s">
        <v>41</v>
      </c>
    </row>
    <row r="460" spans="1:17" x14ac:dyDescent="0.25">
      <c r="A460" s="2">
        <v>45739</v>
      </c>
      <c r="B460" s="2" t="s">
        <v>494</v>
      </c>
      <c r="C460" s="2" t="s">
        <v>488</v>
      </c>
      <c r="D460" s="3" t="s">
        <v>38</v>
      </c>
      <c r="E460" s="3" t="s">
        <v>16</v>
      </c>
      <c r="F460" s="3" t="s">
        <v>33</v>
      </c>
      <c r="G460" s="3" t="s">
        <v>79</v>
      </c>
      <c r="H460" s="3">
        <v>2</v>
      </c>
      <c r="I460" s="4">
        <v>90</v>
      </c>
      <c r="J460" s="3">
        <v>100</v>
      </c>
      <c r="K460" s="3">
        <v>0</v>
      </c>
      <c r="L460" s="3">
        <v>200</v>
      </c>
      <c r="M460" s="3">
        <v>20</v>
      </c>
      <c r="N460" s="3" t="s">
        <v>35</v>
      </c>
      <c r="O460" s="3" t="str">
        <f t="shared" si="7"/>
        <v>NO</v>
      </c>
      <c r="P460" s="3" t="s">
        <v>335</v>
      </c>
      <c r="Q460" s="3" t="s">
        <v>45</v>
      </c>
    </row>
    <row r="461" spans="1:17" x14ac:dyDescent="0.25">
      <c r="A461" s="2">
        <v>45841</v>
      </c>
      <c r="B461" s="2" t="s">
        <v>501</v>
      </c>
      <c r="C461" s="2" t="s">
        <v>496</v>
      </c>
      <c r="D461" s="3" t="s">
        <v>38</v>
      </c>
      <c r="E461" s="3" t="s">
        <v>39</v>
      </c>
      <c r="F461" s="3" t="s">
        <v>11</v>
      </c>
      <c r="G461" s="3" t="s">
        <v>12</v>
      </c>
      <c r="H461" s="3">
        <v>5</v>
      </c>
      <c r="I461" s="4">
        <v>60</v>
      </c>
      <c r="J461" s="3">
        <v>200</v>
      </c>
      <c r="K461" s="3">
        <v>0</v>
      </c>
      <c r="L461" s="3">
        <v>1000</v>
      </c>
      <c r="M461" s="3">
        <v>700</v>
      </c>
      <c r="N461" s="3" t="s">
        <v>19</v>
      </c>
      <c r="O461" s="3" t="str">
        <f t="shared" si="7"/>
        <v>NO</v>
      </c>
      <c r="P461" s="3" t="s">
        <v>96</v>
      </c>
      <c r="Q461" s="3" t="s">
        <v>21</v>
      </c>
    </row>
    <row r="462" spans="1:17" x14ac:dyDescent="0.25">
      <c r="A462" s="2">
        <v>45678</v>
      </c>
      <c r="B462" s="2" t="s">
        <v>489</v>
      </c>
      <c r="C462" s="2" t="s">
        <v>493</v>
      </c>
      <c r="D462" s="3" t="s">
        <v>22</v>
      </c>
      <c r="E462" s="3" t="s">
        <v>10</v>
      </c>
      <c r="F462" s="3" t="s">
        <v>24</v>
      </c>
      <c r="G462" s="3" t="s">
        <v>25</v>
      </c>
      <c r="H462" s="3">
        <v>2</v>
      </c>
      <c r="I462" s="4">
        <v>112.5</v>
      </c>
      <c r="J462" s="3">
        <v>250</v>
      </c>
      <c r="K462" s="3">
        <v>10</v>
      </c>
      <c r="L462" s="3">
        <v>450</v>
      </c>
      <c r="M462" s="3">
        <v>225</v>
      </c>
      <c r="N462" s="3" t="s">
        <v>35</v>
      </c>
      <c r="O462" s="3" t="str">
        <f t="shared" si="7"/>
        <v>YES</v>
      </c>
      <c r="P462" s="3" t="s">
        <v>400</v>
      </c>
      <c r="Q462" s="3" t="s">
        <v>45</v>
      </c>
    </row>
    <row r="463" spans="1:17" x14ac:dyDescent="0.25">
      <c r="A463" s="2">
        <v>45711</v>
      </c>
      <c r="B463" s="2" t="s">
        <v>500</v>
      </c>
      <c r="C463" s="2" t="s">
        <v>488</v>
      </c>
      <c r="D463" s="3" t="s">
        <v>32</v>
      </c>
      <c r="E463" s="3" t="s">
        <v>16</v>
      </c>
      <c r="F463" s="3" t="s">
        <v>24</v>
      </c>
      <c r="G463" s="3" t="s">
        <v>25</v>
      </c>
      <c r="H463" s="3">
        <v>2</v>
      </c>
      <c r="I463" s="4">
        <v>67.5</v>
      </c>
      <c r="J463" s="3">
        <v>150</v>
      </c>
      <c r="K463" s="3">
        <v>0</v>
      </c>
      <c r="L463" s="3">
        <v>300</v>
      </c>
      <c r="M463" s="3">
        <v>165</v>
      </c>
      <c r="N463" s="3" t="s">
        <v>13</v>
      </c>
      <c r="O463" s="3" t="str">
        <f t="shared" si="7"/>
        <v>NO</v>
      </c>
      <c r="P463" s="3" t="s">
        <v>401</v>
      </c>
      <c r="Q463" s="3" t="s">
        <v>21</v>
      </c>
    </row>
    <row r="464" spans="1:17" x14ac:dyDescent="0.25">
      <c r="A464" s="2">
        <v>45871</v>
      </c>
      <c r="B464" s="2" t="s">
        <v>495</v>
      </c>
      <c r="C464" s="2" t="s">
        <v>490</v>
      </c>
      <c r="D464" s="3" t="s">
        <v>38</v>
      </c>
      <c r="E464" s="3" t="s">
        <v>23</v>
      </c>
      <c r="F464" s="3" t="s">
        <v>11</v>
      </c>
      <c r="G464" s="3" t="s">
        <v>131</v>
      </c>
      <c r="H464" s="3">
        <v>2</v>
      </c>
      <c r="I464" s="4">
        <v>45</v>
      </c>
      <c r="J464" s="3">
        <v>150</v>
      </c>
      <c r="K464" s="3">
        <v>0</v>
      </c>
      <c r="L464" s="3">
        <v>300</v>
      </c>
      <c r="M464" s="3">
        <v>210</v>
      </c>
      <c r="N464" s="3" t="s">
        <v>19</v>
      </c>
      <c r="O464" s="3" t="str">
        <f t="shared" si="7"/>
        <v>NO</v>
      </c>
      <c r="P464" s="3" t="s">
        <v>250</v>
      </c>
      <c r="Q464" s="3" t="s">
        <v>21</v>
      </c>
    </row>
    <row r="465" spans="1:17" x14ac:dyDescent="0.25">
      <c r="A465" s="2">
        <v>45905</v>
      </c>
      <c r="B465" s="2" t="s">
        <v>483</v>
      </c>
      <c r="C465" s="2" t="s">
        <v>484</v>
      </c>
      <c r="D465" s="3" t="s">
        <v>22</v>
      </c>
      <c r="E465" s="3" t="s">
        <v>58</v>
      </c>
      <c r="F465" s="3" t="s">
        <v>17</v>
      </c>
      <c r="G465" s="3" t="s">
        <v>77</v>
      </c>
      <c r="H465" s="3">
        <v>2</v>
      </c>
      <c r="I465" s="4">
        <v>20</v>
      </c>
      <c r="J465" s="3">
        <v>100</v>
      </c>
      <c r="K465" s="3">
        <v>5</v>
      </c>
      <c r="L465" s="3">
        <v>190</v>
      </c>
      <c r="M465" s="3">
        <v>150</v>
      </c>
      <c r="N465" s="3" t="s">
        <v>35</v>
      </c>
      <c r="O465" s="3" t="str">
        <f t="shared" si="7"/>
        <v>YES</v>
      </c>
      <c r="P465" s="3" t="s">
        <v>126</v>
      </c>
      <c r="Q465" s="3" t="s">
        <v>21</v>
      </c>
    </row>
    <row r="466" spans="1:17" x14ac:dyDescent="0.25">
      <c r="A466" s="2">
        <v>45917</v>
      </c>
      <c r="B466" s="2" t="s">
        <v>483</v>
      </c>
      <c r="C466" s="2" t="s">
        <v>487</v>
      </c>
      <c r="D466" s="3" t="s">
        <v>9</v>
      </c>
      <c r="E466" s="3" t="s">
        <v>16</v>
      </c>
      <c r="F466" s="3" t="s">
        <v>11</v>
      </c>
      <c r="G466" s="3" t="s">
        <v>59</v>
      </c>
      <c r="H466" s="3">
        <v>10</v>
      </c>
      <c r="I466" s="4">
        <v>60</v>
      </c>
      <c r="J466" s="3">
        <v>200</v>
      </c>
      <c r="K466" s="3">
        <v>20</v>
      </c>
      <c r="L466" s="3">
        <v>1600</v>
      </c>
      <c r="M466" s="3">
        <v>1000</v>
      </c>
      <c r="N466" s="3" t="s">
        <v>13</v>
      </c>
      <c r="O466" s="3" t="str">
        <f t="shared" si="7"/>
        <v>YES</v>
      </c>
      <c r="P466" s="3" t="s">
        <v>402</v>
      </c>
      <c r="Q466" s="3" t="s">
        <v>61</v>
      </c>
    </row>
    <row r="467" spans="1:17" x14ac:dyDescent="0.25">
      <c r="A467" s="2">
        <v>45852</v>
      </c>
      <c r="B467" s="2" t="s">
        <v>501</v>
      </c>
      <c r="C467" s="2" t="s">
        <v>491</v>
      </c>
      <c r="D467" s="3" t="s">
        <v>32</v>
      </c>
      <c r="E467" s="3" t="s">
        <v>70</v>
      </c>
      <c r="F467" s="3" t="s">
        <v>29</v>
      </c>
      <c r="G467" s="3" t="s">
        <v>83</v>
      </c>
      <c r="H467" s="3">
        <v>1</v>
      </c>
      <c r="I467" s="4">
        <v>100</v>
      </c>
      <c r="J467" s="3">
        <v>150</v>
      </c>
      <c r="K467" s="3">
        <v>0</v>
      </c>
      <c r="L467" s="3">
        <v>150</v>
      </c>
      <c r="M467" s="3">
        <v>50</v>
      </c>
      <c r="N467" s="3" t="s">
        <v>19</v>
      </c>
      <c r="O467" s="3" t="str">
        <f t="shared" si="7"/>
        <v>NO</v>
      </c>
      <c r="P467" s="3" t="s">
        <v>403</v>
      </c>
      <c r="Q467" s="3" t="s">
        <v>21</v>
      </c>
    </row>
    <row r="468" spans="1:17" x14ac:dyDescent="0.25">
      <c r="A468" s="2">
        <v>45903</v>
      </c>
      <c r="B468" s="2" t="s">
        <v>483</v>
      </c>
      <c r="C468" s="2" t="s">
        <v>487</v>
      </c>
      <c r="D468" s="3" t="s">
        <v>22</v>
      </c>
      <c r="E468" s="3" t="s">
        <v>39</v>
      </c>
      <c r="F468" s="3" t="s">
        <v>24</v>
      </c>
      <c r="G468" s="3" t="s">
        <v>42</v>
      </c>
      <c r="H468" s="3">
        <v>3</v>
      </c>
      <c r="I468" s="4">
        <v>112.5</v>
      </c>
      <c r="J468" s="3">
        <v>250</v>
      </c>
      <c r="K468" s="3">
        <v>0</v>
      </c>
      <c r="L468" s="3">
        <v>750</v>
      </c>
      <c r="M468" s="3">
        <v>412.5</v>
      </c>
      <c r="N468" s="3" t="s">
        <v>19</v>
      </c>
      <c r="O468" s="3" t="str">
        <f t="shared" si="7"/>
        <v>NO</v>
      </c>
      <c r="P468" s="3" t="s">
        <v>404</v>
      </c>
      <c r="Q468" s="3" t="s">
        <v>41</v>
      </c>
    </row>
    <row r="469" spans="1:17" x14ac:dyDescent="0.25">
      <c r="A469" s="2">
        <v>45732</v>
      </c>
      <c r="B469" s="2" t="s">
        <v>494</v>
      </c>
      <c r="C469" s="2" t="s">
        <v>488</v>
      </c>
      <c r="D469" s="3" t="s">
        <v>38</v>
      </c>
      <c r="E469" s="3" t="s">
        <v>39</v>
      </c>
      <c r="F469" s="3" t="s">
        <v>29</v>
      </c>
      <c r="G469" s="3" t="s">
        <v>47</v>
      </c>
      <c r="H469" s="3">
        <v>5</v>
      </c>
      <c r="I469" s="4">
        <v>100</v>
      </c>
      <c r="J469" s="3">
        <v>150</v>
      </c>
      <c r="K469" s="3">
        <v>15</v>
      </c>
      <c r="L469" s="3">
        <v>637.5</v>
      </c>
      <c r="M469" s="3">
        <v>137.5</v>
      </c>
      <c r="N469" s="3" t="s">
        <v>19</v>
      </c>
      <c r="O469" s="3" t="str">
        <f t="shared" si="7"/>
        <v>YES</v>
      </c>
      <c r="P469" s="3" t="s">
        <v>405</v>
      </c>
      <c r="Q469" s="3" t="s">
        <v>45</v>
      </c>
    </row>
    <row r="470" spans="1:17" x14ac:dyDescent="0.25">
      <c r="A470" s="2">
        <v>45820</v>
      </c>
      <c r="B470" s="2" t="s">
        <v>497</v>
      </c>
      <c r="C470" s="2" t="s">
        <v>496</v>
      </c>
      <c r="D470" s="3" t="s">
        <v>32</v>
      </c>
      <c r="E470" s="3" t="s">
        <v>10</v>
      </c>
      <c r="F470" s="3" t="s">
        <v>11</v>
      </c>
      <c r="G470" s="3" t="s">
        <v>59</v>
      </c>
      <c r="H470" s="3">
        <v>5</v>
      </c>
      <c r="I470" s="4">
        <v>75</v>
      </c>
      <c r="J470" s="3">
        <v>250</v>
      </c>
      <c r="K470" s="3">
        <v>15</v>
      </c>
      <c r="L470" s="3">
        <v>1062.5</v>
      </c>
      <c r="M470" s="3">
        <v>687.5</v>
      </c>
      <c r="N470" s="3" t="s">
        <v>19</v>
      </c>
      <c r="O470" s="3" t="str">
        <f t="shared" si="7"/>
        <v>YES</v>
      </c>
      <c r="P470" s="3" t="s">
        <v>306</v>
      </c>
      <c r="Q470" s="3" t="s">
        <v>45</v>
      </c>
    </row>
    <row r="471" spans="1:17" x14ac:dyDescent="0.25">
      <c r="A471" s="2">
        <v>45829</v>
      </c>
      <c r="B471" s="2" t="s">
        <v>497</v>
      </c>
      <c r="C471" s="2" t="s">
        <v>490</v>
      </c>
      <c r="D471" s="3" t="s">
        <v>32</v>
      </c>
      <c r="E471" s="3" t="s">
        <v>16</v>
      </c>
      <c r="F471" s="3" t="s">
        <v>17</v>
      </c>
      <c r="G471" s="3" t="s">
        <v>56</v>
      </c>
      <c r="H471" s="3">
        <v>10</v>
      </c>
      <c r="I471" s="4">
        <v>50</v>
      </c>
      <c r="J471" s="3">
        <v>250</v>
      </c>
      <c r="K471" s="3">
        <v>20</v>
      </c>
      <c r="L471" s="3">
        <v>2000</v>
      </c>
      <c r="M471" s="3">
        <v>1500</v>
      </c>
      <c r="N471" s="3" t="s">
        <v>13</v>
      </c>
      <c r="O471" s="3" t="str">
        <f t="shared" si="7"/>
        <v>YES</v>
      </c>
      <c r="P471" s="3" t="s">
        <v>406</v>
      </c>
      <c r="Q471" s="3" t="s">
        <v>37</v>
      </c>
    </row>
    <row r="472" spans="1:17" x14ac:dyDescent="0.25">
      <c r="A472" s="2">
        <v>45713</v>
      </c>
      <c r="B472" s="2" t="s">
        <v>500</v>
      </c>
      <c r="C472" s="2" t="s">
        <v>493</v>
      </c>
      <c r="D472" s="3" t="s">
        <v>27</v>
      </c>
      <c r="E472" s="3" t="s">
        <v>28</v>
      </c>
      <c r="F472" s="3" t="s">
        <v>33</v>
      </c>
      <c r="G472" s="3" t="s">
        <v>79</v>
      </c>
      <c r="H472" s="3">
        <v>2</v>
      </c>
      <c r="I472" s="4">
        <v>112.5</v>
      </c>
      <c r="J472" s="3">
        <v>100</v>
      </c>
      <c r="K472" s="3">
        <v>10</v>
      </c>
      <c r="L472" s="3">
        <v>180</v>
      </c>
      <c r="M472" s="3">
        <v>-45</v>
      </c>
      <c r="N472" s="3" t="s">
        <v>35</v>
      </c>
      <c r="O472" s="3" t="str">
        <f t="shared" si="7"/>
        <v>YES</v>
      </c>
      <c r="P472" s="3" t="s">
        <v>407</v>
      </c>
      <c r="Q472" s="3" t="s">
        <v>45</v>
      </c>
    </row>
    <row r="473" spans="1:17" x14ac:dyDescent="0.25">
      <c r="A473" s="2">
        <v>45675</v>
      </c>
      <c r="B473" s="2" t="s">
        <v>489</v>
      </c>
      <c r="C473" s="2" t="s">
        <v>490</v>
      </c>
      <c r="D473" s="3" t="s">
        <v>38</v>
      </c>
      <c r="E473" s="3" t="s">
        <v>16</v>
      </c>
      <c r="F473" s="3" t="s">
        <v>11</v>
      </c>
      <c r="G473" s="3" t="s">
        <v>12</v>
      </c>
      <c r="H473" s="3">
        <v>3</v>
      </c>
      <c r="I473" s="4">
        <v>75</v>
      </c>
      <c r="J473" s="3">
        <v>250</v>
      </c>
      <c r="K473" s="3">
        <v>5</v>
      </c>
      <c r="L473" s="3">
        <v>712.5</v>
      </c>
      <c r="M473" s="3">
        <v>487.5</v>
      </c>
      <c r="N473" s="3" t="s">
        <v>19</v>
      </c>
      <c r="O473" s="3" t="str">
        <f t="shared" si="7"/>
        <v>YES</v>
      </c>
      <c r="P473" s="3" t="s">
        <v>243</v>
      </c>
      <c r="Q473" s="3" t="s">
        <v>41</v>
      </c>
    </row>
    <row r="474" spans="1:17" x14ac:dyDescent="0.25">
      <c r="A474" s="2">
        <v>45767</v>
      </c>
      <c r="B474" s="2" t="s">
        <v>486</v>
      </c>
      <c r="C474" s="2" t="s">
        <v>488</v>
      </c>
      <c r="D474" s="3" t="s">
        <v>38</v>
      </c>
      <c r="E474" s="3" t="s">
        <v>70</v>
      </c>
      <c r="F474" s="3" t="s">
        <v>24</v>
      </c>
      <c r="G474" s="3" t="s">
        <v>42</v>
      </c>
      <c r="H474" s="3">
        <v>2</v>
      </c>
      <c r="I474" s="4">
        <v>45</v>
      </c>
      <c r="J474" s="3">
        <v>100</v>
      </c>
      <c r="K474" s="3">
        <v>0</v>
      </c>
      <c r="L474" s="3">
        <v>200</v>
      </c>
      <c r="M474" s="3">
        <v>110</v>
      </c>
      <c r="N474" s="3" t="s">
        <v>35</v>
      </c>
      <c r="O474" s="3" t="str">
        <f t="shared" si="7"/>
        <v>NO</v>
      </c>
      <c r="P474" s="3" t="s">
        <v>408</v>
      </c>
      <c r="Q474" s="3" t="s">
        <v>21</v>
      </c>
    </row>
    <row r="475" spans="1:17" x14ac:dyDescent="0.25">
      <c r="A475" s="2">
        <v>45754</v>
      </c>
      <c r="B475" s="2" t="s">
        <v>486</v>
      </c>
      <c r="C475" s="2" t="s">
        <v>491</v>
      </c>
      <c r="D475" s="3" t="s">
        <v>9</v>
      </c>
      <c r="E475" s="3" t="s">
        <v>58</v>
      </c>
      <c r="F475" s="3" t="s">
        <v>29</v>
      </c>
      <c r="G475" s="3" t="s">
        <v>83</v>
      </c>
      <c r="H475" s="3">
        <v>5</v>
      </c>
      <c r="I475" s="4">
        <v>100</v>
      </c>
      <c r="J475" s="3">
        <v>250</v>
      </c>
      <c r="K475" s="3">
        <v>20</v>
      </c>
      <c r="L475" s="3">
        <v>1000</v>
      </c>
      <c r="M475" s="3">
        <v>500</v>
      </c>
      <c r="N475" s="3" t="s">
        <v>13</v>
      </c>
      <c r="O475" s="3" t="str">
        <f t="shared" si="7"/>
        <v>YES</v>
      </c>
      <c r="P475" s="3" t="s">
        <v>259</v>
      </c>
      <c r="Q475" s="3" t="s">
        <v>61</v>
      </c>
    </row>
    <row r="476" spans="1:17" x14ac:dyDescent="0.25">
      <c r="A476" s="2">
        <v>45842</v>
      </c>
      <c r="B476" s="2" t="s">
        <v>501</v>
      </c>
      <c r="C476" s="2" t="s">
        <v>484</v>
      </c>
      <c r="D476" s="3" t="s">
        <v>32</v>
      </c>
      <c r="E476" s="3" t="s">
        <v>39</v>
      </c>
      <c r="F476" s="3" t="s">
        <v>33</v>
      </c>
      <c r="G476" s="3" t="s">
        <v>34</v>
      </c>
      <c r="H476" s="3">
        <v>2</v>
      </c>
      <c r="I476" s="4">
        <v>45</v>
      </c>
      <c r="J476" s="3">
        <v>250</v>
      </c>
      <c r="K476" s="3">
        <v>5</v>
      </c>
      <c r="L476" s="3">
        <v>475</v>
      </c>
      <c r="M476" s="3">
        <v>385</v>
      </c>
      <c r="N476" s="3" t="s">
        <v>19</v>
      </c>
      <c r="O476" s="3" t="str">
        <f t="shared" si="7"/>
        <v>YES</v>
      </c>
      <c r="P476" s="3" t="s">
        <v>409</v>
      </c>
      <c r="Q476" s="3" t="s">
        <v>61</v>
      </c>
    </row>
    <row r="477" spans="1:17" x14ac:dyDescent="0.25">
      <c r="A477" s="2">
        <v>45864</v>
      </c>
      <c r="B477" s="2" t="s">
        <v>501</v>
      </c>
      <c r="C477" s="2" t="s">
        <v>490</v>
      </c>
      <c r="D477" s="3" t="s">
        <v>38</v>
      </c>
      <c r="E477" s="3" t="s">
        <v>70</v>
      </c>
      <c r="F477" s="3" t="s">
        <v>17</v>
      </c>
      <c r="G477" s="3" t="s">
        <v>18</v>
      </c>
      <c r="H477" s="3">
        <v>2</v>
      </c>
      <c r="I477" s="4">
        <v>20</v>
      </c>
      <c r="J477" s="3">
        <v>100</v>
      </c>
      <c r="K477" s="3">
        <v>15</v>
      </c>
      <c r="L477" s="3">
        <v>170</v>
      </c>
      <c r="M477" s="3">
        <v>130</v>
      </c>
      <c r="N477" s="3" t="s">
        <v>13</v>
      </c>
      <c r="O477" s="3" t="str">
        <f t="shared" si="7"/>
        <v>YES</v>
      </c>
      <c r="P477" s="3" t="s">
        <v>410</v>
      </c>
      <c r="Q477" s="3" t="s">
        <v>61</v>
      </c>
    </row>
    <row r="478" spans="1:17" x14ac:dyDescent="0.25">
      <c r="A478" s="2">
        <v>45774</v>
      </c>
      <c r="B478" s="2" t="s">
        <v>486</v>
      </c>
      <c r="C478" s="2" t="s">
        <v>488</v>
      </c>
      <c r="D478" s="3" t="s">
        <v>38</v>
      </c>
      <c r="E478" s="3" t="s">
        <v>28</v>
      </c>
      <c r="F478" s="3" t="s">
        <v>33</v>
      </c>
      <c r="G478" s="3" t="s">
        <v>88</v>
      </c>
      <c r="H478" s="3">
        <v>10</v>
      </c>
      <c r="I478" s="4">
        <v>22.5</v>
      </c>
      <c r="J478" s="3">
        <v>200</v>
      </c>
      <c r="K478" s="3">
        <v>15</v>
      </c>
      <c r="L478" s="3">
        <v>1700</v>
      </c>
      <c r="M478" s="3">
        <v>1475</v>
      </c>
      <c r="N478" s="3" t="s">
        <v>13</v>
      </c>
      <c r="O478" s="3" t="str">
        <f t="shared" si="7"/>
        <v>YES</v>
      </c>
      <c r="P478" s="3" t="s">
        <v>411</v>
      </c>
      <c r="Q478" s="3" t="s">
        <v>61</v>
      </c>
    </row>
    <row r="479" spans="1:17" x14ac:dyDescent="0.25">
      <c r="A479" s="2">
        <v>45903</v>
      </c>
      <c r="B479" s="2" t="s">
        <v>483</v>
      </c>
      <c r="C479" s="2" t="s">
        <v>487</v>
      </c>
      <c r="D479" s="3" t="s">
        <v>27</v>
      </c>
      <c r="E479" s="3" t="s">
        <v>70</v>
      </c>
      <c r="F479" s="3" t="s">
        <v>24</v>
      </c>
      <c r="G479" s="3" t="s">
        <v>71</v>
      </c>
      <c r="H479" s="3">
        <v>2</v>
      </c>
      <c r="I479" s="4">
        <v>22.5</v>
      </c>
      <c r="J479" s="3">
        <v>50</v>
      </c>
      <c r="K479" s="3">
        <v>5</v>
      </c>
      <c r="L479" s="3">
        <v>95</v>
      </c>
      <c r="M479" s="3">
        <v>50</v>
      </c>
      <c r="N479" s="3" t="s">
        <v>35</v>
      </c>
      <c r="O479" s="3" t="str">
        <f t="shared" si="7"/>
        <v>YES</v>
      </c>
      <c r="P479" s="3" t="s">
        <v>330</v>
      </c>
      <c r="Q479" s="3" t="s">
        <v>41</v>
      </c>
    </row>
    <row r="480" spans="1:17" x14ac:dyDescent="0.25">
      <c r="A480" s="2">
        <v>45658</v>
      </c>
      <c r="B480" s="2" t="s">
        <v>489</v>
      </c>
      <c r="C480" s="2" t="s">
        <v>487</v>
      </c>
      <c r="D480" s="3" t="s">
        <v>27</v>
      </c>
      <c r="E480" s="3" t="s">
        <v>39</v>
      </c>
      <c r="F480" s="3" t="s">
        <v>11</v>
      </c>
      <c r="G480" s="3" t="s">
        <v>105</v>
      </c>
      <c r="H480" s="3">
        <v>3</v>
      </c>
      <c r="I480" s="4">
        <v>60</v>
      </c>
      <c r="J480" s="3">
        <v>200</v>
      </c>
      <c r="K480" s="3">
        <v>0</v>
      </c>
      <c r="L480" s="3">
        <v>600</v>
      </c>
      <c r="M480" s="3">
        <v>420</v>
      </c>
      <c r="N480" s="3" t="s">
        <v>19</v>
      </c>
      <c r="O480" s="3" t="str">
        <f t="shared" si="7"/>
        <v>NO</v>
      </c>
      <c r="P480" s="3" t="s">
        <v>412</v>
      </c>
      <c r="Q480" s="3" t="s">
        <v>41</v>
      </c>
    </row>
    <row r="481" spans="1:17" x14ac:dyDescent="0.25">
      <c r="A481" s="2">
        <v>45667</v>
      </c>
      <c r="B481" s="2" t="s">
        <v>489</v>
      </c>
      <c r="C481" s="2" t="s">
        <v>484</v>
      </c>
      <c r="D481" s="3" t="s">
        <v>22</v>
      </c>
      <c r="E481" s="3" t="s">
        <v>28</v>
      </c>
      <c r="F481" s="3" t="s">
        <v>24</v>
      </c>
      <c r="G481" s="3" t="s">
        <v>81</v>
      </c>
      <c r="H481" s="3">
        <v>2</v>
      </c>
      <c r="I481" s="4">
        <v>22.5</v>
      </c>
      <c r="J481" s="3">
        <v>50</v>
      </c>
      <c r="K481" s="3">
        <v>0</v>
      </c>
      <c r="L481" s="3">
        <v>100</v>
      </c>
      <c r="M481" s="3">
        <v>55</v>
      </c>
      <c r="N481" s="3" t="s">
        <v>13</v>
      </c>
      <c r="O481" s="3" t="str">
        <f t="shared" si="7"/>
        <v>NO</v>
      </c>
      <c r="P481" s="3" t="s">
        <v>413</v>
      </c>
      <c r="Q481" s="3" t="s">
        <v>15</v>
      </c>
    </row>
    <row r="482" spans="1:17" x14ac:dyDescent="0.25">
      <c r="A482" s="2">
        <v>45968</v>
      </c>
      <c r="B482" s="2" t="s">
        <v>485</v>
      </c>
      <c r="C482" s="2" t="s">
        <v>484</v>
      </c>
      <c r="D482" s="3" t="s">
        <v>22</v>
      </c>
      <c r="E482" s="3" t="s">
        <v>58</v>
      </c>
      <c r="F482" s="3" t="s">
        <v>17</v>
      </c>
      <c r="G482" s="3" t="s">
        <v>68</v>
      </c>
      <c r="H482" s="3">
        <v>2</v>
      </c>
      <c r="I482" s="4">
        <v>40</v>
      </c>
      <c r="J482" s="3">
        <v>200</v>
      </c>
      <c r="K482" s="3">
        <v>10</v>
      </c>
      <c r="L482" s="3">
        <v>360</v>
      </c>
      <c r="M482" s="3">
        <v>280</v>
      </c>
      <c r="N482" s="3" t="s">
        <v>19</v>
      </c>
      <c r="O482" s="3" t="str">
        <f t="shared" si="7"/>
        <v>YES</v>
      </c>
      <c r="P482" s="3" t="s">
        <v>414</v>
      </c>
      <c r="Q482" s="3" t="s">
        <v>15</v>
      </c>
    </row>
    <row r="483" spans="1:17" x14ac:dyDescent="0.25">
      <c r="A483" s="2">
        <v>45673</v>
      </c>
      <c r="B483" s="2" t="s">
        <v>489</v>
      </c>
      <c r="C483" s="2" t="s">
        <v>496</v>
      </c>
      <c r="D483" s="3" t="s">
        <v>27</v>
      </c>
      <c r="E483" s="3" t="s">
        <v>58</v>
      </c>
      <c r="F483" s="3" t="s">
        <v>24</v>
      </c>
      <c r="G483" s="3" t="s">
        <v>71</v>
      </c>
      <c r="H483" s="3">
        <v>2</v>
      </c>
      <c r="I483" s="4">
        <v>22.5</v>
      </c>
      <c r="J483" s="3">
        <v>50</v>
      </c>
      <c r="K483" s="3">
        <v>0</v>
      </c>
      <c r="L483" s="3">
        <v>100</v>
      </c>
      <c r="M483" s="3">
        <v>55</v>
      </c>
      <c r="N483" s="3" t="s">
        <v>13</v>
      </c>
      <c r="O483" s="3" t="str">
        <f t="shared" si="7"/>
        <v>NO</v>
      </c>
      <c r="P483" s="3" t="s">
        <v>354</v>
      </c>
      <c r="Q483" s="3" t="s">
        <v>15</v>
      </c>
    </row>
    <row r="484" spans="1:17" x14ac:dyDescent="0.25">
      <c r="A484" s="2">
        <v>46013</v>
      </c>
      <c r="B484" s="2" t="s">
        <v>498</v>
      </c>
      <c r="C484" s="2" t="s">
        <v>491</v>
      </c>
      <c r="D484" s="3" t="s">
        <v>9</v>
      </c>
      <c r="E484" s="3" t="s">
        <v>58</v>
      </c>
      <c r="F484" s="3" t="s">
        <v>11</v>
      </c>
      <c r="G484" s="3" t="s">
        <v>115</v>
      </c>
      <c r="H484" s="3">
        <v>2</v>
      </c>
      <c r="I484" s="4">
        <v>15</v>
      </c>
      <c r="J484" s="3">
        <v>50</v>
      </c>
      <c r="K484" s="3">
        <v>0</v>
      </c>
      <c r="L484" s="3">
        <v>100</v>
      </c>
      <c r="M484" s="3">
        <v>70</v>
      </c>
      <c r="N484" s="3" t="s">
        <v>35</v>
      </c>
      <c r="O484" s="3" t="str">
        <f t="shared" si="7"/>
        <v>NO</v>
      </c>
      <c r="P484" s="3" t="s">
        <v>415</v>
      </c>
      <c r="Q484" s="3" t="s">
        <v>15</v>
      </c>
    </row>
    <row r="485" spans="1:17" x14ac:dyDescent="0.25">
      <c r="A485" s="2">
        <v>45689</v>
      </c>
      <c r="B485" s="2" t="s">
        <v>500</v>
      </c>
      <c r="C485" s="2" t="s">
        <v>490</v>
      </c>
      <c r="D485" s="3" t="s">
        <v>27</v>
      </c>
      <c r="E485" s="3" t="s">
        <v>16</v>
      </c>
      <c r="F485" s="3" t="s">
        <v>33</v>
      </c>
      <c r="G485" s="3" t="s">
        <v>79</v>
      </c>
      <c r="H485" s="3">
        <v>2</v>
      </c>
      <c r="I485" s="4">
        <v>90</v>
      </c>
      <c r="J485" s="3">
        <v>200</v>
      </c>
      <c r="K485" s="3">
        <v>0</v>
      </c>
      <c r="L485" s="3">
        <v>400</v>
      </c>
      <c r="M485" s="3">
        <v>220</v>
      </c>
      <c r="N485" s="3" t="s">
        <v>35</v>
      </c>
      <c r="O485" s="3" t="str">
        <f t="shared" si="7"/>
        <v>NO</v>
      </c>
      <c r="P485" s="3" t="s">
        <v>416</v>
      </c>
      <c r="Q485" s="3" t="s">
        <v>15</v>
      </c>
    </row>
    <row r="486" spans="1:17" x14ac:dyDescent="0.25">
      <c r="A486" s="2">
        <v>45785</v>
      </c>
      <c r="B486" s="2" t="s">
        <v>492</v>
      </c>
      <c r="C486" s="2" t="s">
        <v>496</v>
      </c>
      <c r="D486" s="3" t="s">
        <v>9</v>
      </c>
      <c r="E486" s="3" t="s">
        <v>70</v>
      </c>
      <c r="F486" s="3" t="s">
        <v>29</v>
      </c>
      <c r="G486" s="3" t="s">
        <v>30</v>
      </c>
      <c r="H486" s="3">
        <v>5</v>
      </c>
      <c r="I486" s="4">
        <v>60</v>
      </c>
      <c r="J486" s="3">
        <v>200</v>
      </c>
      <c r="K486" s="3">
        <v>0</v>
      </c>
      <c r="L486" s="3">
        <v>1000</v>
      </c>
      <c r="M486" s="3">
        <v>700</v>
      </c>
      <c r="N486" s="3" t="s">
        <v>19</v>
      </c>
      <c r="O486" s="3" t="str">
        <f t="shared" si="7"/>
        <v>NO</v>
      </c>
      <c r="P486" s="3" t="s">
        <v>417</v>
      </c>
      <c r="Q486" s="3" t="s">
        <v>37</v>
      </c>
    </row>
    <row r="487" spans="1:17" x14ac:dyDescent="0.25">
      <c r="A487" s="2">
        <v>45764</v>
      </c>
      <c r="B487" s="2" t="s">
        <v>486</v>
      </c>
      <c r="C487" s="2" t="s">
        <v>496</v>
      </c>
      <c r="D487" s="3" t="s">
        <v>9</v>
      </c>
      <c r="E487" s="3" t="s">
        <v>16</v>
      </c>
      <c r="F487" s="3" t="s">
        <v>24</v>
      </c>
      <c r="G487" s="3" t="s">
        <v>81</v>
      </c>
      <c r="H487" s="3">
        <v>1</v>
      </c>
      <c r="I487" s="4">
        <v>67.5</v>
      </c>
      <c r="J487" s="3">
        <v>150</v>
      </c>
      <c r="K487" s="3">
        <v>10</v>
      </c>
      <c r="L487" s="3">
        <v>135</v>
      </c>
      <c r="M487" s="3">
        <v>67.5</v>
      </c>
      <c r="N487" s="3" t="s">
        <v>19</v>
      </c>
      <c r="O487" s="3" t="str">
        <f t="shared" si="7"/>
        <v>YES</v>
      </c>
      <c r="P487" s="3" t="s">
        <v>40</v>
      </c>
      <c r="Q487" s="3" t="s">
        <v>45</v>
      </c>
    </row>
    <row r="488" spans="1:17" x14ac:dyDescent="0.25">
      <c r="A488" s="2">
        <v>45671</v>
      </c>
      <c r="B488" s="2" t="s">
        <v>489</v>
      </c>
      <c r="C488" s="2" t="s">
        <v>493</v>
      </c>
      <c r="D488" s="3" t="s">
        <v>27</v>
      </c>
      <c r="E488" s="3" t="s">
        <v>70</v>
      </c>
      <c r="F488" s="3" t="s">
        <v>24</v>
      </c>
      <c r="G488" s="3" t="s">
        <v>42</v>
      </c>
      <c r="H488" s="3">
        <v>1</v>
      </c>
      <c r="I488" s="4">
        <v>67.5</v>
      </c>
      <c r="J488" s="3">
        <v>150</v>
      </c>
      <c r="K488" s="3">
        <v>15</v>
      </c>
      <c r="L488" s="3">
        <v>127.5</v>
      </c>
      <c r="M488" s="3">
        <v>60</v>
      </c>
      <c r="N488" s="3" t="s">
        <v>35</v>
      </c>
      <c r="O488" s="3" t="str">
        <f t="shared" si="7"/>
        <v>YES</v>
      </c>
      <c r="P488" s="3" t="s">
        <v>418</v>
      </c>
      <c r="Q488" s="3" t="s">
        <v>15</v>
      </c>
    </row>
    <row r="489" spans="1:17" x14ac:dyDescent="0.25">
      <c r="A489" s="2">
        <v>45671</v>
      </c>
      <c r="B489" s="2" t="s">
        <v>489</v>
      </c>
      <c r="C489" s="2" t="s">
        <v>493</v>
      </c>
      <c r="D489" s="3" t="s">
        <v>22</v>
      </c>
      <c r="E489" s="3" t="s">
        <v>10</v>
      </c>
      <c r="F489" s="3" t="s">
        <v>33</v>
      </c>
      <c r="G489" s="3" t="s">
        <v>88</v>
      </c>
      <c r="H489" s="3">
        <v>10</v>
      </c>
      <c r="I489" s="4">
        <v>112.5</v>
      </c>
      <c r="J489" s="3">
        <v>50</v>
      </c>
      <c r="K489" s="3">
        <v>20</v>
      </c>
      <c r="L489" s="3">
        <v>400</v>
      </c>
      <c r="M489" s="3">
        <v>-725</v>
      </c>
      <c r="N489" s="3" t="s">
        <v>35</v>
      </c>
      <c r="O489" s="3" t="str">
        <f t="shared" si="7"/>
        <v>YES</v>
      </c>
      <c r="P489" s="3" t="s">
        <v>236</v>
      </c>
      <c r="Q489" s="3" t="s">
        <v>15</v>
      </c>
    </row>
    <row r="490" spans="1:17" x14ac:dyDescent="0.25">
      <c r="A490" s="2">
        <v>45947</v>
      </c>
      <c r="B490" s="2" t="s">
        <v>499</v>
      </c>
      <c r="C490" s="2" t="s">
        <v>484</v>
      </c>
      <c r="D490" s="3" t="s">
        <v>38</v>
      </c>
      <c r="E490" s="3" t="s">
        <v>16</v>
      </c>
      <c r="F490" s="3" t="s">
        <v>33</v>
      </c>
      <c r="G490" s="3" t="s">
        <v>50</v>
      </c>
      <c r="H490" s="3">
        <v>5</v>
      </c>
      <c r="I490" s="4">
        <v>90</v>
      </c>
      <c r="J490" s="3">
        <v>250</v>
      </c>
      <c r="K490" s="3">
        <v>15</v>
      </c>
      <c r="L490" s="3">
        <v>1062.5</v>
      </c>
      <c r="M490" s="3">
        <v>612.5</v>
      </c>
      <c r="N490" s="3" t="s">
        <v>35</v>
      </c>
      <c r="O490" s="3" t="str">
        <f t="shared" si="7"/>
        <v>YES</v>
      </c>
      <c r="P490" s="3" t="s">
        <v>305</v>
      </c>
      <c r="Q490" s="3" t="s">
        <v>15</v>
      </c>
    </row>
    <row r="491" spans="1:17" x14ac:dyDescent="0.25">
      <c r="A491" s="2">
        <v>45943</v>
      </c>
      <c r="B491" s="2" t="s">
        <v>499</v>
      </c>
      <c r="C491" s="2" t="s">
        <v>491</v>
      </c>
      <c r="D491" s="3" t="s">
        <v>9</v>
      </c>
      <c r="E491" s="3" t="s">
        <v>39</v>
      </c>
      <c r="F491" s="3" t="s">
        <v>17</v>
      </c>
      <c r="G491" s="3" t="s">
        <v>18</v>
      </c>
      <c r="H491" s="3">
        <v>5</v>
      </c>
      <c r="I491" s="4">
        <v>40</v>
      </c>
      <c r="J491" s="3">
        <v>200</v>
      </c>
      <c r="K491" s="3">
        <v>5</v>
      </c>
      <c r="L491" s="3">
        <v>950</v>
      </c>
      <c r="M491" s="3">
        <v>750</v>
      </c>
      <c r="N491" s="3" t="s">
        <v>13</v>
      </c>
      <c r="O491" s="3" t="str">
        <f t="shared" si="7"/>
        <v>YES</v>
      </c>
      <c r="P491" s="3" t="s">
        <v>277</v>
      </c>
      <c r="Q491" s="3" t="s">
        <v>37</v>
      </c>
    </row>
    <row r="492" spans="1:17" x14ac:dyDescent="0.25">
      <c r="A492" s="2">
        <v>45887</v>
      </c>
      <c r="B492" s="2" t="s">
        <v>495</v>
      </c>
      <c r="C492" s="2" t="s">
        <v>491</v>
      </c>
      <c r="D492" s="3" t="s">
        <v>9</v>
      </c>
      <c r="E492" s="3" t="s">
        <v>70</v>
      </c>
      <c r="F492" s="3" t="s">
        <v>24</v>
      </c>
      <c r="G492" s="3" t="s">
        <v>25</v>
      </c>
      <c r="H492" s="3">
        <v>2</v>
      </c>
      <c r="I492" s="4">
        <v>112.5</v>
      </c>
      <c r="J492" s="3">
        <v>250</v>
      </c>
      <c r="K492" s="3">
        <v>15</v>
      </c>
      <c r="L492" s="3">
        <v>425</v>
      </c>
      <c r="M492" s="3">
        <v>200</v>
      </c>
      <c r="N492" s="3" t="s">
        <v>35</v>
      </c>
      <c r="O492" s="3" t="str">
        <f t="shared" si="7"/>
        <v>YES</v>
      </c>
      <c r="P492" s="3" t="s">
        <v>419</v>
      </c>
      <c r="Q492" s="3" t="s">
        <v>61</v>
      </c>
    </row>
    <row r="493" spans="1:17" x14ac:dyDescent="0.25">
      <c r="A493" s="2">
        <v>45661</v>
      </c>
      <c r="B493" s="2" t="s">
        <v>489</v>
      </c>
      <c r="C493" s="2" t="s">
        <v>490</v>
      </c>
      <c r="D493" s="3" t="s">
        <v>27</v>
      </c>
      <c r="E493" s="3" t="s">
        <v>58</v>
      </c>
      <c r="F493" s="3" t="s">
        <v>17</v>
      </c>
      <c r="G493" s="3" t="s">
        <v>18</v>
      </c>
      <c r="H493" s="3">
        <v>5</v>
      </c>
      <c r="I493" s="4">
        <v>20</v>
      </c>
      <c r="J493" s="3">
        <v>100</v>
      </c>
      <c r="K493" s="3">
        <v>15</v>
      </c>
      <c r="L493" s="3">
        <v>425</v>
      </c>
      <c r="M493" s="3">
        <v>325</v>
      </c>
      <c r="N493" s="3" t="s">
        <v>13</v>
      </c>
      <c r="O493" s="3" t="str">
        <f t="shared" si="7"/>
        <v>YES</v>
      </c>
      <c r="P493" s="3" t="s">
        <v>420</v>
      </c>
      <c r="Q493" s="3" t="s">
        <v>15</v>
      </c>
    </row>
    <row r="494" spans="1:17" x14ac:dyDescent="0.25">
      <c r="A494" s="2">
        <v>45877</v>
      </c>
      <c r="B494" s="2" t="s">
        <v>495</v>
      </c>
      <c r="C494" s="2" t="s">
        <v>484</v>
      </c>
      <c r="D494" s="3" t="s">
        <v>27</v>
      </c>
      <c r="E494" s="3" t="s">
        <v>70</v>
      </c>
      <c r="F494" s="3" t="s">
        <v>29</v>
      </c>
      <c r="G494" s="3" t="s">
        <v>83</v>
      </c>
      <c r="H494" s="3">
        <v>5</v>
      </c>
      <c r="I494" s="4">
        <v>60</v>
      </c>
      <c r="J494" s="3">
        <v>150</v>
      </c>
      <c r="K494" s="3">
        <v>0</v>
      </c>
      <c r="L494" s="3">
        <v>750</v>
      </c>
      <c r="M494" s="3">
        <v>450</v>
      </c>
      <c r="N494" s="3" t="s">
        <v>35</v>
      </c>
      <c r="O494" s="3" t="str">
        <f t="shared" si="7"/>
        <v>NO</v>
      </c>
      <c r="P494" s="3" t="s">
        <v>421</v>
      </c>
      <c r="Q494" s="3" t="s">
        <v>45</v>
      </c>
    </row>
    <row r="495" spans="1:17" x14ac:dyDescent="0.25">
      <c r="A495" s="2">
        <v>45820</v>
      </c>
      <c r="B495" s="2" t="s">
        <v>497</v>
      </c>
      <c r="C495" s="2" t="s">
        <v>496</v>
      </c>
      <c r="D495" s="3" t="s">
        <v>9</v>
      </c>
      <c r="E495" s="3" t="s">
        <v>10</v>
      </c>
      <c r="F495" s="3" t="s">
        <v>24</v>
      </c>
      <c r="G495" s="3" t="s">
        <v>81</v>
      </c>
      <c r="H495" s="3">
        <v>2</v>
      </c>
      <c r="I495" s="4">
        <v>67.5</v>
      </c>
      <c r="J495" s="3">
        <v>150</v>
      </c>
      <c r="K495" s="3">
        <v>0</v>
      </c>
      <c r="L495" s="3">
        <v>300</v>
      </c>
      <c r="M495" s="3">
        <v>165</v>
      </c>
      <c r="N495" s="3" t="s">
        <v>13</v>
      </c>
      <c r="O495" s="3" t="str">
        <f t="shared" si="7"/>
        <v>NO</v>
      </c>
      <c r="P495" s="3" t="s">
        <v>422</v>
      </c>
      <c r="Q495" s="3" t="s">
        <v>21</v>
      </c>
    </row>
    <row r="496" spans="1:17" x14ac:dyDescent="0.25">
      <c r="A496" s="2">
        <v>45769</v>
      </c>
      <c r="B496" s="2" t="s">
        <v>486</v>
      </c>
      <c r="C496" s="2" t="s">
        <v>493</v>
      </c>
      <c r="D496" s="3" t="s">
        <v>32</v>
      </c>
      <c r="E496" s="3" t="s">
        <v>58</v>
      </c>
      <c r="F496" s="3" t="s">
        <v>24</v>
      </c>
      <c r="G496" s="3" t="s">
        <v>25</v>
      </c>
      <c r="H496" s="3">
        <v>3</v>
      </c>
      <c r="I496" s="4">
        <v>112.5</v>
      </c>
      <c r="J496" s="3">
        <v>250</v>
      </c>
      <c r="K496" s="3">
        <v>20</v>
      </c>
      <c r="L496" s="3">
        <v>600</v>
      </c>
      <c r="M496" s="3">
        <v>262.5</v>
      </c>
      <c r="N496" s="3" t="s">
        <v>35</v>
      </c>
      <c r="O496" s="3" t="str">
        <f t="shared" si="7"/>
        <v>YES</v>
      </c>
      <c r="P496" s="3" t="s">
        <v>385</v>
      </c>
      <c r="Q496" s="3" t="s">
        <v>15</v>
      </c>
    </row>
    <row r="497" spans="1:17" x14ac:dyDescent="0.25">
      <c r="A497" s="2">
        <v>45659</v>
      </c>
      <c r="B497" s="2" t="s">
        <v>489</v>
      </c>
      <c r="C497" s="2" t="s">
        <v>496</v>
      </c>
      <c r="D497" s="3" t="s">
        <v>38</v>
      </c>
      <c r="E497" s="3" t="s">
        <v>28</v>
      </c>
      <c r="F497" s="3" t="s">
        <v>24</v>
      </c>
      <c r="G497" s="3" t="s">
        <v>81</v>
      </c>
      <c r="H497" s="3">
        <v>10</v>
      </c>
      <c r="I497" s="4">
        <v>67.5</v>
      </c>
      <c r="J497" s="3">
        <v>150</v>
      </c>
      <c r="K497" s="3">
        <v>5</v>
      </c>
      <c r="L497" s="3">
        <v>1425</v>
      </c>
      <c r="M497" s="3">
        <v>750</v>
      </c>
      <c r="N497" s="3" t="s">
        <v>35</v>
      </c>
      <c r="O497" s="3" t="str">
        <f t="shared" si="7"/>
        <v>YES</v>
      </c>
      <c r="P497" s="3" t="s">
        <v>263</v>
      </c>
      <c r="Q497" s="3" t="s">
        <v>37</v>
      </c>
    </row>
    <row r="498" spans="1:17" x14ac:dyDescent="0.25">
      <c r="A498" s="2">
        <v>45933</v>
      </c>
      <c r="B498" s="2" t="s">
        <v>499</v>
      </c>
      <c r="C498" s="2" t="s">
        <v>484</v>
      </c>
      <c r="D498" s="3" t="s">
        <v>38</v>
      </c>
      <c r="E498" s="3" t="s">
        <v>10</v>
      </c>
      <c r="F498" s="3" t="s">
        <v>29</v>
      </c>
      <c r="G498" s="3" t="s">
        <v>83</v>
      </c>
      <c r="H498" s="3">
        <v>3</v>
      </c>
      <c r="I498" s="4">
        <v>80</v>
      </c>
      <c r="J498" s="3">
        <v>100</v>
      </c>
      <c r="K498" s="3">
        <v>15</v>
      </c>
      <c r="L498" s="3">
        <v>255</v>
      </c>
      <c r="M498" s="3">
        <v>15</v>
      </c>
      <c r="N498" s="3" t="s">
        <v>13</v>
      </c>
      <c r="O498" s="3" t="str">
        <f t="shared" si="7"/>
        <v>YES</v>
      </c>
      <c r="P498" s="3" t="s">
        <v>423</v>
      </c>
      <c r="Q498" s="3" t="s">
        <v>15</v>
      </c>
    </row>
    <row r="499" spans="1:17" x14ac:dyDescent="0.25">
      <c r="A499" s="2">
        <v>45801</v>
      </c>
      <c r="B499" s="2" t="s">
        <v>492</v>
      </c>
      <c r="C499" s="2" t="s">
        <v>490</v>
      </c>
      <c r="D499" s="3" t="s">
        <v>38</v>
      </c>
      <c r="E499" s="3" t="s">
        <v>58</v>
      </c>
      <c r="F499" s="3" t="s">
        <v>24</v>
      </c>
      <c r="G499" s="3" t="s">
        <v>81</v>
      </c>
      <c r="H499" s="3">
        <v>5</v>
      </c>
      <c r="I499" s="4">
        <v>90</v>
      </c>
      <c r="J499" s="3">
        <v>200</v>
      </c>
      <c r="K499" s="3">
        <v>5</v>
      </c>
      <c r="L499" s="3">
        <v>950</v>
      </c>
      <c r="M499" s="3">
        <v>500</v>
      </c>
      <c r="N499" s="3" t="s">
        <v>19</v>
      </c>
      <c r="O499" s="3" t="str">
        <f t="shared" si="7"/>
        <v>YES</v>
      </c>
      <c r="P499" s="3" t="s">
        <v>424</v>
      </c>
      <c r="Q499" s="3" t="s">
        <v>37</v>
      </c>
    </row>
    <row r="500" spans="1:17" x14ac:dyDescent="0.25">
      <c r="A500" s="2">
        <v>45734</v>
      </c>
      <c r="B500" s="2" t="s">
        <v>494</v>
      </c>
      <c r="C500" s="2" t="s">
        <v>493</v>
      </c>
      <c r="D500" s="3" t="s">
        <v>22</v>
      </c>
      <c r="E500" s="3" t="s">
        <v>16</v>
      </c>
      <c r="F500" s="3" t="s">
        <v>17</v>
      </c>
      <c r="G500" s="3" t="s">
        <v>68</v>
      </c>
      <c r="H500" s="3">
        <v>10</v>
      </c>
      <c r="I500" s="4">
        <v>30</v>
      </c>
      <c r="J500" s="3">
        <v>150</v>
      </c>
      <c r="K500" s="3">
        <v>5</v>
      </c>
      <c r="L500" s="3">
        <v>1425</v>
      </c>
      <c r="M500" s="3">
        <v>1125</v>
      </c>
      <c r="N500" s="3" t="s">
        <v>35</v>
      </c>
      <c r="O500" s="3" t="str">
        <f t="shared" si="7"/>
        <v>YES</v>
      </c>
      <c r="P500" s="3" t="s">
        <v>425</v>
      </c>
      <c r="Q500" s="3" t="s">
        <v>45</v>
      </c>
    </row>
    <row r="501" spans="1:17" x14ac:dyDescent="0.25">
      <c r="A501" s="2">
        <v>45741</v>
      </c>
      <c r="B501" s="2" t="s">
        <v>494</v>
      </c>
      <c r="C501" s="2" t="s">
        <v>493</v>
      </c>
      <c r="D501" s="3" t="s">
        <v>32</v>
      </c>
      <c r="E501" s="3" t="s">
        <v>10</v>
      </c>
      <c r="F501" s="3" t="s">
        <v>17</v>
      </c>
      <c r="G501" s="3" t="s">
        <v>68</v>
      </c>
      <c r="H501" s="3">
        <v>5</v>
      </c>
      <c r="I501" s="4">
        <v>30</v>
      </c>
      <c r="J501" s="3">
        <v>150</v>
      </c>
      <c r="K501" s="3">
        <v>10</v>
      </c>
      <c r="L501" s="3">
        <v>675</v>
      </c>
      <c r="M501" s="3">
        <v>525</v>
      </c>
      <c r="N501" s="3" t="s">
        <v>35</v>
      </c>
      <c r="O501" s="3" t="str">
        <f t="shared" si="7"/>
        <v>YES</v>
      </c>
      <c r="P501" s="3" t="s">
        <v>260</v>
      </c>
      <c r="Q501" s="3" t="s">
        <v>21</v>
      </c>
    </row>
    <row r="502" spans="1:17" x14ac:dyDescent="0.25">
      <c r="A502" s="2">
        <v>45734</v>
      </c>
      <c r="B502" s="2" t="s">
        <v>494</v>
      </c>
      <c r="C502" s="2" t="s">
        <v>493</v>
      </c>
      <c r="D502" s="3" t="s">
        <v>27</v>
      </c>
      <c r="E502" s="3" t="s">
        <v>58</v>
      </c>
      <c r="F502" s="3" t="s">
        <v>24</v>
      </c>
      <c r="G502" s="3" t="s">
        <v>42</v>
      </c>
      <c r="H502" s="3">
        <v>5</v>
      </c>
      <c r="I502" s="4">
        <v>67.5</v>
      </c>
      <c r="J502" s="3">
        <v>150</v>
      </c>
      <c r="K502" s="3">
        <v>5</v>
      </c>
      <c r="L502" s="3">
        <v>712.5</v>
      </c>
      <c r="M502" s="3">
        <v>375</v>
      </c>
      <c r="N502" s="3" t="s">
        <v>13</v>
      </c>
      <c r="O502" s="3" t="str">
        <f t="shared" si="7"/>
        <v>YES</v>
      </c>
      <c r="P502" s="3" t="s">
        <v>426</v>
      </c>
      <c r="Q502" s="3" t="s">
        <v>15</v>
      </c>
    </row>
    <row r="503" spans="1:17" x14ac:dyDescent="0.25">
      <c r="A503" s="2">
        <v>45802</v>
      </c>
      <c r="B503" s="2" t="s">
        <v>492</v>
      </c>
      <c r="C503" s="2" t="s">
        <v>488</v>
      </c>
      <c r="D503" s="3" t="s">
        <v>27</v>
      </c>
      <c r="E503" s="3" t="s">
        <v>23</v>
      </c>
      <c r="F503" s="3" t="s">
        <v>29</v>
      </c>
      <c r="G503" s="3" t="s">
        <v>30</v>
      </c>
      <c r="H503" s="3">
        <v>3</v>
      </c>
      <c r="I503" s="4">
        <v>60</v>
      </c>
      <c r="J503" s="3">
        <v>50</v>
      </c>
      <c r="K503" s="3">
        <v>0</v>
      </c>
      <c r="L503" s="3">
        <v>150</v>
      </c>
      <c r="M503" s="3">
        <v>-30</v>
      </c>
      <c r="N503" s="3" t="s">
        <v>19</v>
      </c>
      <c r="O503" s="3" t="str">
        <f t="shared" si="7"/>
        <v>NO</v>
      </c>
      <c r="P503" s="3" t="s">
        <v>427</v>
      </c>
      <c r="Q503" s="3" t="s">
        <v>45</v>
      </c>
    </row>
    <row r="504" spans="1:17" x14ac:dyDescent="0.25">
      <c r="A504" s="2">
        <v>46010</v>
      </c>
      <c r="B504" s="2" t="s">
        <v>498</v>
      </c>
      <c r="C504" s="2" t="s">
        <v>484</v>
      </c>
      <c r="D504" s="3" t="s">
        <v>32</v>
      </c>
      <c r="E504" s="3" t="s">
        <v>39</v>
      </c>
      <c r="F504" s="3" t="s">
        <v>33</v>
      </c>
      <c r="G504" s="3" t="s">
        <v>79</v>
      </c>
      <c r="H504" s="3">
        <v>3</v>
      </c>
      <c r="I504" s="4">
        <v>45</v>
      </c>
      <c r="J504" s="3">
        <v>150</v>
      </c>
      <c r="K504" s="3">
        <v>0</v>
      </c>
      <c r="L504" s="3">
        <v>450</v>
      </c>
      <c r="M504" s="3">
        <v>315</v>
      </c>
      <c r="N504" s="3" t="s">
        <v>19</v>
      </c>
      <c r="O504" s="3" t="str">
        <f t="shared" si="7"/>
        <v>NO</v>
      </c>
      <c r="P504" s="3" t="s">
        <v>364</v>
      </c>
      <c r="Q504" s="3" t="s">
        <v>15</v>
      </c>
    </row>
    <row r="505" spans="1:17" x14ac:dyDescent="0.25">
      <c r="A505" s="2">
        <v>45736</v>
      </c>
      <c r="B505" s="2" t="s">
        <v>494</v>
      </c>
      <c r="C505" s="2" t="s">
        <v>496</v>
      </c>
      <c r="D505" s="3" t="s">
        <v>32</v>
      </c>
      <c r="E505" s="3" t="s">
        <v>70</v>
      </c>
      <c r="F505" s="3" t="s">
        <v>11</v>
      </c>
      <c r="G505" s="3" t="s">
        <v>131</v>
      </c>
      <c r="H505" s="3">
        <v>1</v>
      </c>
      <c r="I505" s="4">
        <v>30</v>
      </c>
      <c r="J505" s="3">
        <v>100</v>
      </c>
      <c r="K505" s="3">
        <v>10</v>
      </c>
      <c r="L505" s="3">
        <v>90</v>
      </c>
      <c r="M505" s="3">
        <v>60</v>
      </c>
      <c r="N505" s="3" t="s">
        <v>13</v>
      </c>
      <c r="O505" s="3" t="str">
        <f t="shared" si="7"/>
        <v>YES</v>
      </c>
      <c r="P505" s="3" t="s">
        <v>428</v>
      </c>
      <c r="Q505" s="3" t="s">
        <v>45</v>
      </c>
    </row>
    <row r="506" spans="1:17" x14ac:dyDescent="0.25">
      <c r="A506" s="2">
        <v>45948</v>
      </c>
      <c r="B506" s="2" t="s">
        <v>499</v>
      </c>
      <c r="C506" s="2" t="s">
        <v>490</v>
      </c>
      <c r="D506" s="3" t="s">
        <v>38</v>
      </c>
      <c r="E506" s="3" t="s">
        <v>28</v>
      </c>
      <c r="F506" s="3" t="s">
        <v>29</v>
      </c>
      <c r="G506" s="3" t="s">
        <v>54</v>
      </c>
      <c r="H506" s="3">
        <v>2</v>
      </c>
      <c r="I506" s="4">
        <v>100</v>
      </c>
      <c r="J506" s="3">
        <v>250</v>
      </c>
      <c r="K506" s="3">
        <v>5</v>
      </c>
      <c r="L506" s="3">
        <v>475</v>
      </c>
      <c r="M506" s="3">
        <v>275</v>
      </c>
      <c r="N506" s="3" t="s">
        <v>35</v>
      </c>
      <c r="O506" s="3" t="str">
        <f t="shared" si="7"/>
        <v>YES</v>
      </c>
      <c r="P506" s="3" t="s">
        <v>429</v>
      </c>
      <c r="Q506" s="3" t="s">
        <v>21</v>
      </c>
    </row>
    <row r="507" spans="1:17" x14ac:dyDescent="0.25">
      <c r="A507" s="2">
        <v>45932</v>
      </c>
      <c r="B507" s="2" t="s">
        <v>499</v>
      </c>
      <c r="C507" s="2" t="s">
        <v>496</v>
      </c>
      <c r="D507" s="3" t="s">
        <v>27</v>
      </c>
      <c r="E507" s="3" t="s">
        <v>28</v>
      </c>
      <c r="F507" s="3" t="s">
        <v>11</v>
      </c>
      <c r="G507" s="3" t="s">
        <v>115</v>
      </c>
      <c r="H507" s="3">
        <v>3</v>
      </c>
      <c r="I507" s="4">
        <v>75</v>
      </c>
      <c r="J507" s="3">
        <v>250</v>
      </c>
      <c r="K507" s="3">
        <v>5</v>
      </c>
      <c r="L507" s="3">
        <v>712.5</v>
      </c>
      <c r="M507" s="3">
        <v>487.5</v>
      </c>
      <c r="N507" s="3" t="s">
        <v>35</v>
      </c>
      <c r="O507" s="3" t="str">
        <f t="shared" si="7"/>
        <v>YES</v>
      </c>
      <c r="P507" s="3" t="s">
        <v>309</v>
      </c>
      <c r="Q507" s="3" t="s">
        <v>15</v>
      </c>
    </row>
    <row r="508" spans="1:17" x14ac:dyDescent="0.25">
      <c r="A508" s="2">
        <v>45702</v>
      </c>
      <c r="B508" s="2" t="s">
        <v>500</v>
      </c>
      <c r="C508" s="2" t="s">
        <v>484</v>
      </c>
      <c r="D508" s="3" t="s">
        <v>38</v>
      </c>
      <c r="E508" s="3" t="s">
        <v>28</v>
      </c>
      <c r="F508" s="3" t="s">
        <v>17</v>
      </c>
      <c r="G508" s="3" t="s">
        <v>77</v>
      </c>
      <c r="H508" s="3">
        <v>10</v>
      </c>
      <c r="I508" s="4">
        <v>40</v>
      </c>
      <c r="J508" s="3">
        <v>200</v>
      </c>
      <c r="K508" s="3">
        <v>5</v>
      </c>
      <c r="L508" s="3">
        <v>1900</v>
      </c>
      <c r="M508" s="3">
        <v>1500</v>
      </c>
      <c r="N508" s="3" t="s">
        <v>13</v>
      </c>
      <c r="O508" s="3" t="str">
        <f t="shared" si="7"/>
        <v>YES</v>
      </c>
      <c r="P508" s="3" t="s">
        <v>430</v>
      </c>
      <c r="Q508" s="3" t="s">
        <v>37</v>
      </c>
    </row>
    <row r="509" spans="1:17" x14ac:dyDescent="0.25">
      <c r="A509" s="2">
        <v>45669</v>
      </c>
      <c r="B509" s="2" t="s">
        <v>489</v>
      </c>
      <c r="C509" s="2" t="s">
        <v>488</v>
      </c>
      <c r="D509" s="3" t="s">
        <v>32</v>
      </c>
      <c r="E509" s="3" t="s">
        <v>23</v>
      </c>
      <c r="F509" s="3" t="s">
        <v>17</v>
      </c>
      <c r="G509" s="3" t="s">
        <v>18</v>
      </c>
      <c r="H509" s="3">
        <v>5</v>
      </c>
      <c r="I509" s="4">
        <v>50</v>
      </c>
      <c r="J509" s="3">
        <v>250</v>
      </c>
      <c r="K509" s="3">
        <v>20</v>
      </c>
      <c r="L509" s="3">
        <v>1000</v>
      </c>
      <c r="M509" s="3">
        <v>750</v>
      </c>
      <c r="N509" s="3" t="s">
        <v>19</v>
      </c>
      <c r="O509" s="3" t="str">
        <f t="shared" si="7"/>
        <v>YES</v>
      </c>
      <c r="P509" s="3" t="s">
        <v>388</v>
      </c>
      <c r="Q509" s="3" t="s">
        <v>15</v>
      </c>
    </row>
    <row r="510" spans="1:17" x14ac:dyDescent="0.25">
      <c r="A510" s="2">
        <v>45922</v>
      </c>
      <c r="B510" s="2" t="s">
        <v>483</v>
      </c>
      <c r="C510" s="2" t="s">
        <v>491</v>
      </c>
      <c r="D510" s="3" t="s">
        <v>27</v>
      </c>
      <c r="E510" s="3" t="s">
        <v>58</v>
      </c>
      <c r="F510" s="3" t="s">
        <v>17</v>
      </c>
      <c r="G510" s="3" t="s">
        <v>68</v>
      </c>
      <c r="H510" s="3">
        <v>2</v>
      </c>
      <c r="I510" s="4">
        <v>50</v>
      </c>
      <c r="J510" s="3">
        <v>250</v>
      </c>
      <c r="K510" s="3">
        <v>20</v>
      </c>
      <c r="L510" s="3">
        <v>400</v>
      </c>
      <c r="M510" s="3">
        <v>300</v>
      </c>
      <c r="N510" s="3" t="s">
        <v>13</v>
      </c>
      <c r="O510" s="3" t="str">
        <f t="shared" si="7"/>
        <v>YES</v>
      </c>
      <c r="P510" s="3" t="s">
        <v>431</v>
      </c>
      <c r="Q510" s="3" t="s">
        <v>41</v>
      </c>
    </row>
    <row r="511" spans="1:17" x14ac:dyDescent="0.25">
      <c r="A511" s="2">
        <v>45875</v>
      </c>
      <c r="B511" s="2" t="s">
        <v>495</v>
      </c>
      <c r="C511" s="2" t="s">
        <v>487</v>
      </c>
      <c r="D511" s="3" t="s">
        <v>32</v>
      </c>
      <c r="E511" s="3" t="s">
        <v>16</v>
      </c>
      <c r="F511" s="3" t="s">
        <v>24</v>
      </c>
      <c r="G511" s="3" t="s">
        <v>42</v>
      </c>
      <c r="H511" s="3">
        <v>5</v>
      </c>
      <c r="I511" s="4">
        <v>112.5</v>
      </c>
      <c r="J511" s="3">
        <v>250</v>
      </c>
      <c r="K511" s="3">
        <v>15</v>
      </c>
      <c r="L511" s="3">
        <v>1062.5</v>
      </c>
      <c r="M511" s="3">
        <v>500</v>
      </c>
      <c r="N511" s="3" t="s">
        <v>19</v>
      </c>
      <c r="O511" s="3" t="str">
        <f t="shared" si="7"/>
        <v>YES</v>
      </c>
      <c r="P511" s="3" t="s">
        <v>393</v>
      </c>
      <c r="Q511" s="3" t="s">
        <v>41</v>
      </c>
    </row>
    <row r="512" spans="1:17" x14ac:dyDescent="0.25">
      <c r="A512" s="2">
        <v>45740</v>
      </c>
      <c r="B512" s="2" t="s">
        <v>494</v>
      </c>
      <c r="C512" s="2" t="s">
        <v>491</v>
      </c>
      <c r="D512" s="3" t="s">
        <v>38</v>
      </c>
      <c r="E512" s="3" t="s">
        <v>39</v>
      </c>
      <c r="F512" s="3" t="s">
        <v>33</v>
      </c>
      <c r="G512" s="3" t="s">
        <v>79</v>
      </c>
      <c r="H512" s="3">
        <v>2</v>
      </c>
      <c r="I512" s="4">
        <v>112.5</v>
      </c>
      <c r="J512" s="3">
        <v>200</v>
      </c>
      <c r="K512" s="3">
        <v>15</v>
      </c>
      <c r="L512" s="3">
        <v>340</v>
      </c>
      <c r="M512" s="3">
        <v>115</v>
      </c>
      <c r="N512" s="3" t="s">
        <v>35</v>
      </c>
      <c r="O512" s="3" t="str">
        <f t="shared" si="7"/>
        <v>YES</v>
      </c>
      <c r="P512" s="3" t="s">
        <v>432</v>
      </c>
      <c r="Q512" s="3" t="s">
        <v>15</v>
      </c>
    </row>
    <row r="513" spans="1:17" x14ac:dyDescent="0.25">
      <c r="A513" s="2">
        <v>45698</v>
      </c>
      <c r="B513" s="2" t="s">
        <v>500</v>
      </c>
      <c r="C513" s="2" t="s">
        <v>491</v>
      </c>
      <c r="D513" s="3" t="s">
        <v>22</v>
      </c>
      <c r="E513" s="3" t="s">
        <v>10</v>
      </c>
      <c r="F513" s="3" t="s">
        <v>17</v>
      </c>
      <c r="G513" s="3" t="s">
        <v>107</v>
      </c>
      <c r="H513" s="3">
        <v>1</v>
      </c>
      <c r="I513" s="4">
        <v>50</v>
      </c>
      <c r="J513" s="3">
        <v>250</v>
      </c>
      <c r="K513" s="3">
        <v>15</v>
      </c>
      <c r="L513" s="3">
        <v>212.5</v>
      </c>
      <c r="M513" s="3">
        <v>162.5</v>
      </c>
      <c r="N513" s="3" t="s">
        <v>19</v>
      </c>
      <c r="O513" s="3" t="str">
        <f t="shared" si="7"/>
        <v>YES</v>
      </c>
      <c r="P513" s="3" t="s">
        <v>166</v>
      </c>
      <c r="Q513" s="3" t="s">
        <v>45</v>
      </c>
    </row>
    <row r="514" spans="1:17" x14ac:dyDescent="0.25">
      <c r="A514" s="2">
        <v>45872</v>
      </c>
      <c r="B514" s="2" t="s">
        <v>495</v>
      </c>
      <c r="C514" s="2" t="s">
        <v>488</v>
      </c>
      <c r="D514" s="3" t="s">
        <v>27</v>
      </c>
      <c r="E514" s="3" t="s">
        <v>70</v>
      </c>
      <c r="F514" s="3" t="s">
        <v>33</v>
      </c>
      <c r="G514" s="3" t="s">
        <v>88</v>
      </c>
      <c r="H514" s="3">
        <v>3</v>
      </c>
      <c r="I514" s="4">
        <v>67.5</v>
      </c>
      <c r="J514" s="3">
        <v>200</v>
      </c>
      <c r="K514" s="3">
        <v>0</v>
      </c>
      <c r="L514" s="3">
        <v>600</v>
      </c>
      <c r="M514" s="3">
        <v>397.5</v>
      </c>
      <c r="N514" s="3" t="s">
        <v>35</v>
      </c>
      <c r="O514" s="3" t="str">
        <f t="shared" si="7"/>
        <v>NO</v>
      </c>
      <c r="P514" s="3" t="s">
        <v>232</v>
      </c>
      <c r="Q514" s="3" t="s">
        <v>21</v>
      </c>
    </row>
    <row r="515" spans="1:17" x14ac:dyDescent="0.25">
      <c r="A515" s="2">
        <v>45956</v>
      </c>
      <c r="B515" s="2" t="s">
        <v>499</v>
      </c>
      <c r="C515" s="2" t="s">
        <v>488</v>
      </c>
      <c r="D515" s="3" t="s">
        <v>38</v>
      </c>
      <c r="E515" s="3" t="s">
        <v>39</v>
      </c>
      <c r="F515" s="3" t="s">
        <v>29</v>
      </c>
      <c r="G515" s="3" t="s">
        <v>83</v>
      </c>
      <c r="H515" s="3">
        <v>3</v>
      </c>
      <c r="I515" s="4">
        <v>20</v>
      </c>
      <c r="J515" s="3">
        <v>150</v>
      </c>
      <c r="K515" s="3">
        <v>0</v>
      </c>
      <c r="L515" s="3">
        <v>450</v>
      </c>
      <c r="M515" s="3">
        <v>390</v>
      </c>
      <c r="N515" s="3" t="s">
        <v>19</v>
      </c>
      <c r="O515" s="3" t="str">
        <f t="shared" ref="O515:O578" si="8">IF(K515&gt;0,"YES","NO")</f>
        <v>NO</v>
      </c>
      <c r="P515" s="3" t="s">
        <v>264</v>
      </c>
      <c r="Q515" s="3" t="s">
        <v>41</v>
      </c>
    </row>
    <row r="516" spans="1:17" x14ac:dyDescent="0.25">
      <c r="A516" s="2">
        <v>46010</v>
      </c>
      <c r="B516" s="2" t="s">
        <v>498</v>
      </c>
      <c r="C516" s="2" t="s">
        <v>484</v>
      </c>
      <c r="D516" s="3" t="s">
        <v>9</v>
      </c>
      <c r="E516" s="3" t="s">
        <v>70</v>
      </c>
      <c r="F516" s="3" t="s">
        <v>29</v>
      </c>
      <c r="G516" s="3" t="s">
        <v>83</v>
      </c>
      <c r="H516" s="3">
        <v>2</v>
      </c>
      <c r="I516" s="4">
        <v>20</v>
      </c>
      <c r="J516" s="3">
        <v>50</v>
      </c>
      <c r="K516" s="3">
        <v>5</v>
      </c>
      <c r="L516" s="3">
        <v>95</v>
      </c>
      <c r="M516" s="3">
        <v>55</v>
      </c>
      <c r="N516" s="3" t="s">
        <v>19</v>
      </c>
      <c r="O516" s="3" t="str">
        <f t="shared" si="8"/>
        <v>YES</v>
      </c>
      <c r="P516" s="3" t="s">
        <v>433</v>
      </c>
      <c r="Q516" s="3" t="s">
        <v>61</v>
      </c>
    </row>
    <row r="517" spans="1:17" x14ac:dyDescent="0.25">
      <c r="A517" s="2">
        <v>45820</v>
      </c>
      <c r="B517" s="2" t="s">
        <v>497</v>
      </c>
      <c r="C517" s="2" t="s">
        <v>496</v>
      </c>
      <c r="D517" s="3" t="s">
        <v>38</v>
      </c>
      <c r="E517" s="3" t="s">
        <v>16</v>
      </c>
      <c r="F517" s="3" t="s">
        <v>24</v>
      </c>
      <c r="G517" s="3" t="s">
        <v>42</v>
      </c>
      <c r="H517" s="3">
        <v>2</v>
      </c>
      <c r="I517" s="4">
        <v>22.5</v>
      </c>
      <c r="J517" s="3">
        <v>50</v>
      </c>
      <c r="K517" s="3">
        <v>20</v>
      </c>
      <c r="L517" s="3">
        <v>80</v>
      </c>
      <c r="M517" s="3">
        <v>35</v>
      </c>
      <c r="N517" s="3" t="s">
        <v>13</v>
      </c>
      <c r="O517" s="3" t="str">
        <f t="shared" si="8"/>
        <v>YES</v>
      </c>
      <c r="P517" s="3" t="s">
        <v>434</v>
      </c>
      <c r="Q517" s="3" t="s">
        <v>21</v>
      </c>
    </row>
    <row r="518" spans="1:17" x14ac:dyDescent="0.25">
      <c r="A518" s="2">
        <v>45812</v>
      </c>
      <c r="B518" s="2" t="s">
        <v>497</v>
      </c>
      <c r="C518" s="2" t="s">
        <v>487</v>
      </c>
      <c r="D518" s="3" t="s">
        <v>38</v>
      </c>
      <c r="E518" s="3" t="s">
        <v>16</v>
      </c>
      <c r="F518" s="3" t="s">
        <v>29</v>
      </c>
      <c r="G518" s="3" t="s">
        <v>47</v>
      </c>
      <c r="H518" s="3">
        <v>1</v>
      </c>
      <c r="I518" s="4">
        <v>40</v>
      </c>
      <c r="J518" s="3">
        <v>150</v>
      </c>
      <c r="K518" s="3">
        <v>0</v>
      </c>
      <c r="L518" s="3">
        <v>150</v>
      </c>
      <c r="M518" s="3">
        <v>110</v>
      </c>
      <c r="N518" s="3" t="s">
        <v>19</v>
      </c>
      <c r="O518" s="3" t="str">
        <f t="shared" si="8"/>
        <v>NO</v>
      </c>
      <c r="P518" s="3" t="s">
        <v>435</v>
      </c>
      <c r="Q518" s="3" t="s">
        <v>37</v>
      </c>
    </row>
    <row r="519" spans="1:17" x14ac:dyDescent="0.25">
      <c r="A519" s="2">
        <v>45943</v>
      </c>
      <c r="B519" s="2" t="s">
        <v>499</v>
      </c>
      <c r="C519" s="2" t="s">
        <v>491</v>
      </c>
      <c r="D519" s="3" t="s">
        <v>32</v>
      </c>
      <c r="E519" s="3" t="s">
        <v>58</v>
      </c>
      <c r="F519" s="3" t="s">
        <v>33</v>
      </c>
      <c r="G519" s="3" t="s">
        <v>88</v>
      </c>
      <c r="H519" s="3">
        <v>3</v>
      </c>
      <c r="I519" s="4">
        <v>90</v>
      </c>
      <c r="J519" s="3">
        <v>100</v>
      </c>
      <c r="K519" s="3">
        <v>20</v>
      </c>
      <c r="L519" s="3">
        <v>240</v>
      </c>
      <c r="M519" s="3">
        <v>-30</v>
      </c>
      <c r="N519" s="3" t="s">
        <v>13</v>
      </c>
      <c r="O519" s="3" t="str">
        <f t="shared" si="8"/>
        <v>YES</v>
      </c>
      <c r="P519" s="3" t="s">
        <v>436</v>
      </c>
      <c r="Q519" s="3" t="s">
        <v>45</v>
      </c>
    </row>
    <row r="520" spans="1:17" x14ac:dyDescent="0.25">
      <c r="A520" s="2">
        <v>45804</v>
      </c>
      <c r="B520" s="2" t="s">
        <v>492</v>
      </c>
      <c r="C520" s="2" t="s">
        <v>493</v>
      </c>
      <c r="D520" s="3" t="s">
        <v>22</v>
      </c>
      <c r="E520" s="3" t="s">
        <v>28</v>
      </c>
      <c r="F520" s="3" t="s">
        <v>33</v>
      </c>
      <c r="G520" s="3" t="s">
        <v>79</v>
      </c>
      <c r="H520" s="3">
        <v>5</v>
      </c>
      <c r="I520" s="4">
        <v>45</v>
      </c>
      <c r="J520" s="3">
        <v>200</v>
      </c>
      <c r="K520" s="3">
        <v>10</v>
      </c>
      <c r="L520" s="3">
        <v>900</v>
      </c>
      <c r="M520" s="3">
        <v>675</v>
      </c>
      <c r="N520" s="3" t="s">
        <v>35</v>
      </c>
      <c r="O520" s="3" t="str">
        <f t="shared" si="8"/>
        <v>YES</v>
      </c>
      <c r="P520" s="3" t="s">
        <v>437</v>
      </c>
      <c r="Q520" s="3" t="s">
        <v>41</v>
      </c>
    </row>
    <row r="521" spans="1:17" x14ac:dyDescent="0.25">
      <c r="A521" s="2">
        <v>45920</v>
      </c>
      <c r="B521" s="2" t="s">
        <v>483</v>
      </c>
      <c r="C521" s="2" t="s">
        <v>490</v>
      </c>
      <c r="D521" s="3" t="s">
        <v>27</v>
      </c>
      <c r="E521" s="3" t="s">
        <v>16</v>
      </c>
      <c r="F521" s="3" t="s">
        <v>11</v>
      </c>
      <c r="G521" s="3" t="s">
        <v>12</v>
      </c>
      <c r="H521" s="3">
        <v>1</v>
      </c>
      <c r="I521" s="4">
        <v>30</v>
      </c>
      <c r="J521" s="3">
        <v>100</v>
      </c>
      <c r="K521" s="3">
        <v>15</v>
      </c>
      <c r="L521" s="3">
        <v>85</v>
      </c>
      <c r="M521" s="3">
        <v>55</v>
      </c>
      <c r="N521" s="3" t="s">
        <v>19</v>
      </c>
      <c r="O521" s="3" t="str">
        <f t="shared" si="8"/>
        <v>YES</v>
      </c>
      <c r="P521" s="3" t="s">
        <v>438</v>
      </c>
      <c r="Q521" s="3" t="s">
        <v>45</v>
      </c>
    </row>
    <row r="522" spans="1:17" x14ac:dyDescent="0.25">
      <c r="A522" s="2">
        <v>45786</v>
      </c>
      <c r="B522" s="2" t="s">
        <v>492</v>
      </c>
      <c r="C522" s="2" t="s">
        <v>484</v>
      </c>
      <c r="D522" s="3" t="s">
        <v>9</v>
      </c>
      <c r="E522" s="3" t="s">
        <v>70</v>
      </c>
      <c r="F522" s="3" t="s">
        <v>29</v>
      </c>
      <c r="G522" s="3" t="s">
        <v>30</v>
      </c>
      <c r="H522" s="3">
        <v>5</v>
      </c>
      <c r="I522" s="4">
        <v>60</v>
      </c>
      <c r="J522" s="3">
        <v>150</v>
      </c>
      <c r="K522" s="3">
        <v>0</v>
      </c>
      <c r="L522" s="3">
        <v>750</v>
      </c>
      <c r="M522" s="3">
        <v>450</v>
      </c>
      <c r="N522" s="3" t="s">
        <v>35</v>
      </c>
      <c r="O522" s="3" t="str">
        <f t="shared" si="8"/>
        <v>NO</v>
      </c>
      <c r="P522" s="3" t="s">
        <v>439</v>
      </c>
      <c r="Q522" s="3" t="s">
        <v>61</v>
      </c>
    </row>
    <row r="523" spans="1:17" x14ac:dyDescent="0.25">
      <c r="A523" s="2">
        <v>45740</v>
      </c>
      <c r="B523" s="2" t="s">
        <v>494</v>
      </c>
      <c r="C523" s="2" t="s">
        <v>491</v>
      </c>
      <c r="D523" s="3" t="s">
        <v>32</v>
      </c>
      <c r="E523" s="3" t="s">
        <v>70</v>
      </c>
      <c r="F523" s="3" t="s">
        <v>24</v>
      </c>
      <c r="G523" s="3" t="s">
        <v>81</v>
      </c>
      <c r="H523" s="3">
        <v>5</v>
      </c>
      <c r="I523" s="4">
        <v>67.5</v>
      </c>
      <c r="J523" s="3">
        <v>150</v>
      </c>
      <c r="K523" s="3">
        <v>0</v>
      </c>
      <c r="L523" s="3">
        <v>750</v>
      </c>
      <c r="M523" s="3">
        <v>412.5</v>
      </c>
      <c r="N523" s="3" t="s">
        <v>13</v>
      </c>
      <c r="O523" s="3" t="str">
        <f t="shared" si="8"/>
        <v>NO</v>
      </c>
      <c r="P523" s="3" t="s">
        <v>440</v>
      </c>
      <c r="Q523" s="3" t="s">
        <v>41</v>
      </c>
    </row>
    <row r="524" spans="1:17" x14ac:dyDescent="0.25">
      <c r="A524" s="2">
        <v>45714</v>
      </c>
      <c r="B524" s="2" t="s">
        <v>500</v>
      </c>
      <c r="C524" s="2" t="s">
        <v>487</v>
      </c>
      <c r="D524" s="3" t="s">
        <v>22</v>
      </c>
      <c r="E524" s="3" t="s">
        <v>58</v>
      </c>
      <c r="F524" s="3" t="s">
        <v>24</v>
      </c>
      <c r="G524" s="3" t="s">
        <v>25</v>
      </c>
      <c r="H524" s="3">
        <v>2</v>
      </c>
      <c r="I524" s="4">
        <v>45</v>
      </c>
      <c r="J524" s="3">
        <v>100</v>
      </c>
      <c r="K524" s="3">
        <v>0</v>
      </c>
      <c r="L524" s="3">
        <v>200</v>
      </c>
      <c r="M524" s="3">
        <v>110</v>
      </c>
      <c r="N524" s="3" t="s">
        <v>19</v>
      </c>
      <c r="O524" s="3" t="str">
        <f t="shared" si="8"/>
        <v>NO</v>
      </c>
      <c r="P524" s="3" t="s">
        <v>441</v>
      </c>
      <c r="Q524" s="3" t="s">
        <v>45</v>
      </c>
    </row>
    <row r="525" spans="1:17" x14ac:dyDescent="0.25">
      <c r="A525" s="2">
        <v>45698</v>
      </c>
      <c r="B525" s="2" t="s">
        <v>500</v>
      </c>
      <c r="C525" s="2" t="s">
        <v>491</v>
      </c>
      <c r="D525" s="3" t="s">
        <v>22</v>
      </c>
      <c r="E525" s="3" t="s">
        <v>10</v>
      </c>
      <c r="F525" s="3" t="s">
        <v>17</v>
      </c>
      <c r="G525" s="3" t="s">
        <v>107</v>
      </c>
      <c r="H525" s="3">
        <v>5</v>
      </c>
      <c r="I525" s="4">
        <v>50</v>
      </c>
      <c r="J525" s="3">
        <v>250</v>
      </c>
      <c r="K525" s="3">
        <v>0</v>
      </c>
      <c r="L525" s="3">
        <v>1250</v>
      </c>
      <c r="M525" s="3">
        <v>1000</v>
      </c>
      <c r="N525" s="3" t="s">
        <v>13</v>
      </c>
      <c r="O525" s="3" t="str">
        <f t="shared" si="8"/>
        <v>NO</v>
      </c>
      <c r="P525" s="3" t="s">
        <v>442</v>
      </c>
      <c r="Q525" s="3" t="s">
        <v>37</v>
      </c>
    </row>
    <row r="526" spans="1:17" x14ac:dyDescent="0.25">
      <c r="A526" s="2">
        <v>45800</v>
      </c>
      <c r="B526" s="2" t="s">
        <v>492</v>
      </c>
      <c r="C526" s="2" t="s">
        <v>484</v>
      </c>
      <c r="D526" s="3" t="s">
        <v>32</v>
      </c>
      <c r="E526" s="3" t="s">
        <v>58</v>
      </c>
      <c r="F526" s="3" t="s">
        <v>17</v>
      </c>
      <c r="G526" s="3" t="s">
        <v>77</v>
      </c>
      <c r="H526" s="3">
        <v>1</v>
      </c>
      <c r="I526" s="4">
        <v>10</v>
      </c>
      <c r="J526" s="3">
        <v>50</v>
      </c>
      <c r="K526" s="3">
        <v>10</v>
      </c>
      <c r="L526" s="3">
        <v>45</v>
      </c>
      <c r="M526" s="3">
        <v>35</v>
      </c>
      <c r="N526" s="3" t="s">
        <v>35</v>
      </c>
      <c r="O526" s="3" t="str">
        <f t="shared" si="8"/>
        <v>YES</v>
      </c>
      <c r="P526" s="3" t="s">
        <v>443</v>
      </c>
      <c r="Q526" s="3" t="s">
        <v>15</v>
      </c>
    </row>
    <row r="527" spans="1:17" x14ac:dyDescent="0.25">
      <c r="A527" s="2">
        <v>45987</v>
      </c>
      <c r="B527" s="2" t="s">
        <v>485</v>
      </c>
      <c r="C527" s="2" t="s">
        <v>487</v>
      </c>
      <c r="D527" s="3" t="s">
        <v>9</v>
      </c>
      <c r="E527" s="3" t="s">
        <v>16</v>
      </c>
      <c r="F527" s="3" t="s">
        <v>17</v>
      </c>
      <c r="G527" s="3" t="s">
        <v>18</v>
      </c>
      <c r="H527" s="3">
        <v>3</v>
      </c>
      <c r="I527" s="4">
        <v>40</v>
      </c>
      <c r="J527" s="3">
        <v>200</v>
      </c>
      <c r="K527" s="3">
        <v>15</v>
      </c>
      <c r="L527" s="3">
        <v>510</v>
      </c>
      <c r="M527" s="3">
        <v>390</v>
      </c>
      <c r="N527" s="3" t="s">
        <v>19</v>
      </c>
      <c r="O527" s="3" t="str">
        <f t="shared" si="8"/>
        <v>YES</v>
      </c>
      <c r="P527" s="3" t="s">
        <v>69</v>
      </c>
      <c r="Q527" s="3" t="s">
        <v>15</v>
      </c>
    </row>
    <row r="528" spans="1:17" x14ac:dyDescent="0.25">
      <c r="A528" s="2">
        <v>45809</v>
      </c>
      <c r="B528" s="2" t="s">
        <v>497</v>
      </c>
      <c r="C528" s="2" t="s">
        <v>488</v>
      </c>
      <c r="D528" s="3" t="s">
        <v>27</v>
      </c>
      <c r="E528" s="3" t="s">
        <v>58</v>
      </c>
      <c r="F528" s="3" t="s">
        <v>17</v>
      </c>
      <c r="G528" s="3" t="s">
        <v>56</v>
      </c>
      <c r="H528" s="3">
        <v>10</v>
      </c>
      <c r="I528" s="4">
        <v>10</v>
      </c>
      <c r="J528" s="3">
        <v>50</v>
      </c>
      <c r="K528" s="3">
        <v>20</v>
      </c>
      <c r="L528" s="3">
        <v>400</v>
      </c>
      <c r="M528" s="3">
        <v>300</v>
      </c>
      <c r="N528" s="3" t="s">
        <v>19</v>
      </c>
      <c r="O528" s="3" t="str">
        <f t="shared" si="8"/>
        <v>YES</v>
      </c>
      <c r="P528" s="3" t="s">
        <v>440</v>
      </c>
      <c r="Q528" s="3" t="s">
        <v>15</v>
      </c>
    </row>
    <row r="529" spans="1:17" x14ac:dyDescent="0.25">
      <c r="A529" s="2">
        <v>45751</v>
      </c>
      <c r="B529" s="2" t="s">
        <v>486</v>
      </c>
      <c r="C529" s="2" t="s">
        <v>484</v>
      </c>
      <c r="D529" s="3" t="s">
        <v>27</v>
      </c>
      <c r="E529" s="3" t="s">
        <v>58</v>
      </c>
      <c r="F529" s="3" t="s">
        <v>29</v>
      </c>
      <c r="G529" s="3" t="s">
        <v>47</v>
      </c>
      <c r="H529" s="3">
        <v>3</v>
      </c>
      <c r="I529" s="4">
        <v>80</v>
      </c>
      <c r="J529" s="3">
        <v>200</v>
      </c>
      <c r="K529" s="3">
        <v>0</v>
      </c>
      <c r="L529" s="3">
        <v>600</v>
      </c>
      <c r="M529" s="3">
        <v>360</v>
      </c>
      <c r="N529" s="3" t="s">
        <v>35</v>
      </c>
      <c r="O529" s="3" t="str">
        <f t="shared" si="8"/>
        <v>NO</v>
      </c>
      <c r="P529" s="3" t="s">
        <v>444</v>
      </c>
      <c r="Q529" s="3" t="s">
        <v>41</v>
      </c>
    </row>
    <row r="530" spans="1:17" x14ac:dyDescent="0.25">
      <c r="A530" s="2">
        <v>45924</v>
      </c>
      <c r="B530" s="2" t="s">
        <v>483</v>
      </c>
      <c r="C530" s="2" t="s">
        <v>487</v>
      </c>
      <c r="D530" s="3" t="s">
        <v>38</v>
      </c>
      <c r="E530" s="3" t="s">
        <v>23</v>
      </c>
      <c r="F530" s="3" t="s">
        <v>24</v>
      </c>
      <c r="G530" s="3" t="s">
        <v>81</v>
      </c>
      <c r="H530" s="3">
        <v>1</v>
      </c>
      <c r="I530" s="4">
        <v>90</v>
      </c>
      <c r="J530" s="3">
        <v>200</v>
      </c>
      <c r="K530" s="3">
        <v>10</v>
      </c>
      <c r="L530" s="3">
        <v>180</v>
      </c>
      <c r="M530" s="3">
        <v>90</v>
      </c>
      <c r="N530" s="3" t="s">
        <v>13</v>
      </c>
      <c r="O530" s="3" t="str">
        <f t="shared" si="8"/>
        <v>YES</v>
      </c>
      <c r="P530" s="3" t="s">
        <v>394</v>
      </c>
      <c r="Q530" s="3" t="s">
        <v>15</v>
      </c>
    </row>
    <row r="531" spans="1:17" x14ac:dyDescent="0.25">
      <c r="A531" s="2">
        <v>45855</v>
      </c>
      <c r="B531" s="2" t="s">
        <v>501</v>
      </c>
      <c r="C531" s="2" t="s">
        <v>496</v>
      </c>
      <c r="D531" s="3" t="s">
        <v>27</v>
      </c>
      <c r="E531" s="3" t="s">
        <v>39</v>
      </c>
      <c r="F531" s="3" t="s">
        <v>33</v>
      </c>
      <c r="G531" s="3" t="s">
        <v>79</v>
      </c>
      <c r="H531" s="3">
        <v>1</v>
      </c>
      <c r="I531" s="4">
        <v>90</v>
      </c>
      <c r="J531" s="3">
        <v>150</v>
      </c>
      <c r="K531" s="3">
        <v>0</v>
      </c>
      <c r="L531" s="3">
        <v>150</v>
      </c>
      <c r="M531" s="3">
        <v>60</v>
      </c>
      <c r="N531" s="3" t="s">
        <v>35</v>
      </c>
      <c r="O531" s="3" t="str">
        <f t="shared" si="8"/>
        <v>NO</v>
      </c>
      <c r="P531" s="3" t="s">
        <v>445</v>
      </c>
      <c r="Q531" s="3" t="s">
        <v>21</v>
      </c>
    </row>
    <row r="532" spans="1:17" x14ac:dyDescent="0.25">
      <c r="A532" s="2">
        <v>45696</v>
      </c>
      <c r="B532" s="2" t="s">
        <v>500</v>
      </c>
      <c r="C532" s="2" t="s">
        <v>490</v>
      </c>
      <c r="D532" s="3" t="s">
        <v>22</v>
      </c>
      <c r="E532" s="3" t="s">
        <v>16</v>
      </c>
      <c r="F532" s="3" t="s">
        <v>17</v>
      </c>
      <c r="G532" s="3" t="s">
        <v>56</v>
      </c>
      <c r="H532" s="3">
        <v>1</v>
      </c>
      <c r="I532" s="4">
        <v>40</v>
      </c>
      <c r="J532" s="3">
        <v>200</v>
      </c>
      <c r="K532" s="3">
        <v>15</v>
      </c>
      <c r="L532" s="3">
        <v>170</v>
      </c>
      <c r="M532" s="3">
        <v>130</v>
      </c>
      <c r="N532" s="3" t="s">
        <v>19</v>
      </c>
      <c r="O532" s="3" t="str">
        <f t="shared" si="8"/>
        <v>YES</v>
      </c>
      <c r="P532" s="3" t="s">
        <v>281</v>
      </c>
      <c r="Q532" s="3" t="s">
        <v>41</v>
      </c>
    </row>
    <row r="533" spans="1:17" x14ac:dyDescent="0.25">
      <c r="A533" s="2">
        <v>45717</v>
      </c>
      <c r="B533" s="2" t="s">
        <v>494</v>
      </c>
      <c r="C533" s="2" t="s">
        <v>490</v>
      </c>
      <c r="D533" s="3" t="s">
        <v>9</v>
      </c>
      <c r="E533" s="3" t="s">
        <v>16</v>
      </c>
      <c r="F533" s="3" t="s">
        <v>11</v>
      </c>
      <c r="G533" s="3" t="s">
        <v>59</v>
      </c>
      <c r="H533" s="3">
        <v>1</v>
      </c>
      <c r="I533" s="4">
        <v>30</v>
      </c>
      <c r="J533" s="3">
        <v>100</v>
      </c>
      <c r="K533" s="3">
        <v>20</v>
      </c>
      <c r="L533" s="3">
        <v>80</v>
      </c>
      <c r="M533" s="3">
        <v>50</v>
      </c>
      <c r="N533" s="3" t="s">
        <v>13</v>
      </c>
      <c r="O533" s="3" t="str">
        <f t="shared" si="8"/>
        <v>YES</v>
      </c>
      <c r="P533" s="3" t="s">
        <v>446</v>
      </c>
      <c r="Q533" s="3" t="s">
        <v>21</v>
      </c>
    </row>
    <row r="534" spans="1:17" x14ac:dyDescent="0.25">
      <c r="A534" s="2">
        <v>45801</v>
      </c>
      <c r="B534" s="2" t="s">
        <v>492</v>
      </c>
      <c r="C534" s="2" t="s">
        <v>490</v>
      </c>
      <c r="D534" s="3" t="s">
        <v>38</v>
      </c>
      <c r="E534" s="3" t="s">
        <v>58</v>
      </c>
      <c r="F534" s="3" t="s">
        <v>24</v>
      </c>
      <c r="G534" s="3" t="s">
        <v>81</v>
      </c>
      <c r="H534" s="3">
        <v>5</v>
      </c>
      <c r="I534" s="4">
        <v>90</v>
      </c>
      <c r="J534" s="3">
        <v>200</v>
      </c>
      <c r="K534" s="3">
        <v>5</v>
      </c>
      <c r="L534" s="3">
        <v>950</v>
      </c>
      <c r="M534" s="3">
        <v>500</v>
      </c>
      <c r="N534" s="3" t="s">
        <v>19</v>
      </c>
      <c r="O534" s="3" t="str">
        <f t="shared" si="8"/>
        <v>YES</v>
      </c>
      <c r="P534" s="3" t="s">
        <v>424</v>
      </c>
      <c r="Q534" s="3" t="s">
        <v>37</v>
      </c>
    </row>
    <row r="535" spans="1:17" x14ac:dyDescent="0.25">
      <c r="A535" s="2">
        <v>45902</v>
      </c>
      <c r="B535" s="2" t="s">
        <v>483</v>
      </c>
      <c r="C535" s="2" t="s">
        <v>493</v>
      </c>
      <c r="D535" s="3" t="s">
        <v>38</v>
      </c>
      <c r="E535" s="3" t="s">
        <v>28</v>
      </c>
      <c r="F535" s="3" t="s">
        <v>24</v>
      </c>
      <c r="G535" s="3" t="s">
        <v>25</v>
      </c>
      <c r="H535" s="3">
        <v>2</v>
      </c>
      <c r="I535" s="4">
        <v>22.5</v>
      </c>
      <c r="J535" s="3">
        <v>50</v>
      </c>
      <c r="K535" s="3">
        <v>10</v>
      </c>
      <c r="L535" s="3">
        <v>90</v>
      </c>
      <c r="M535" s="3">
        <v>45</v>
      </c>
      <c r="N535" s="3" t="s">
        <v>35</v>
      </c>
      <c r="O535" s="3" t="str">
        <f t="shared" si="8"/>
        <v>YES</v>
      </c>
      <c r="P535" s="3" t="s">
        <v>447</v>
      </c>
      <c r="Q535" s="3" t="s">
        <v>21</v>
      </c>
    </row>
    <row r="536" spans="1:17" x14ac:dyDescent="0.25">
      <c r="A536" s="2">
        <v>45952</v>
      </c>
      <c r="B536" s="2" t="s">
        <v>499</v>
      </c>
      <c r="C536" s="2" t="s">
        <v>487</v>
      </c>
      <c r="D536" s="3" t="s">
        <v>9</v>
      </c>
      <c r="E536" s="3" t="s">
        <v>58</v>
      </c>
      <c r="F536" s="3" t="s">
        <v>11</v>
      </c>
      <c r="G536" s="3" t="s">
        <v>12</v>
      </c>
      <c r="H536" s="3">
        <v>2</v>
      </c>
      <c r="I536" s="4">
        <v>15</v>
      </c>
      <c r="J536" s="3">
        <v>50</v>
      </c>
      <c r="K536" s="3">
        <v>15</v>
      </c>
      <c r="L536" s="3">
        <v>85</v>
      </c>
      <c r="M536" s="3">
        <v>55</v>
      </c>
      <c r="N536" s="3" t="s">
        <v>13</v>
      </c>
      <c r="O536" s="3" t="str">
        <f t="shared" si="8"/>
        <v>YES</v>
      </c>
      <c r="P536" s="3" t="s">
        <v>296</v>
      </c>
      <c r="Q536" s="3" t="s">
        <v>21</v>
      </c>
    </row>
    <row r="537" spans="1:17" x14ac:dyDescent="0.25">
      <c r="A537" s="2">
        <v>45733</v>
      </c>
      <c r="B537" s="2" t="s">
        <v>494</v>
      </c>
      <c r="C537" s="2" t="s">
        <v>491</v>
      </c>
      <c r="D537" s="3" t="s">
        <v>38</v>
      </c>
      <c r="E537" s="3" t="s">
        <v>58</v>
      </c>
      <c r="F537" s="3" t="s">
        <v>29</v>
      </c>
      <c r="G537" s="3" t="s">
        <v>47</v>
      </c>
      <c r="H537" s="3">
        <v>3</v>
      </c>
      <c r="I537" s="4">
        <v>60</v>
      </c>
      <c r="J537" s="3">
        <v>200</v>
      </c>
      <c r="K537" s="3">
        <v>20</v>
      </c>
      <c r="L537" s="3">
        <v>480</v>
      </c>
      <c r="M537" s="3">
        <v>300</v>
      </c>
      <c r="N537" s="3" t="s">
        <v>19</v>
      </c>
      <c r="O537" s="3" t="str">
        <f t="shared" si="8"/>
        <v>YES</v>
      </c>
      <c r="P537" s="3" t="s">
        <v>448</v>
      </c>
      <c r="Q537" s="3" t="s">
        <v>15</v>
      </c>
    </row>
    <row r="538" spans="1:17" x14ac:dyDescent="0.25">
      <c r="A538" s="2">
        <v>45664</v>
      </c>
      <c r="B538" s="2" t="s">
        <v>489</v>
      </c>
      <c r="C538" s="2" t="s">
        <v>493</v>
      </c>
      <c r="D538" s="3" t="s">
        <v>27</v>
      </c>
      <c r="E538" s="3" t="s">
        <v>10</v>
      </c>
      <c r="F538" s="3" t="s">
        <v>33</v>
      </c>
      <c r="G538" s="3" t="s">
        <v>34</v>
      </c>
      <c r="H538" s="3">
        <v>1</v>
      </c>
      <c r="I538" s="4">
        <v>22.5</v>
      </c>
      <c r="J538" s="3">
        <v>150</v>
      </c>
      <c r="K538" s="3">
        <v>20</v>
      </c>
      <c r="L538" s="3">
        <v>120</v>
      </c>
      <c r="M538" s="3">
        <v>97.5</v>
      </c>
      <c r="N538" s="3" t="s">
        <v>13</v>
      </c>
      <c r="O538" s="3" t="str">
        <f t="shared" si="8"/>
        <v>YES</v>
      </c>
      <c r="P538" s="3" t="s">
        <v>344</v>
      </c>
      <c r="Q538" s="3" t="s">
        <v>45</v>
      </c>
    </row>
    <row r="539" spans="1:17" x14ac:dyDescent="0.25">
      <c r="A539" s="2">
        <v>45766</v>
      </c>
      <c r="B539" s="2" t="s">
        <v>486</v>
      </c>
      <c r="C539" s="2" t="s">
        <v>490</v>
      </c>
      <c r="D539" s="3" t="s">
        <v>38</v>
      </c>
      <c r="E539" s="3" t="s">
        <v>70</v>
      </c>
      <c r="F539" s="3" t="s">
        <v>24</v>
      </c>
      <c r="G539" s="3" t="s">
        <v>42</v>
      </c>
      <c r="H539" s="3">
        <v>10</v>
      </c>
      <c r="I539" s="4">
        <v>22.5</v>
      </c>
      <c r="J539" s="3">
        <v>50</v>
      </c>
      <c r="K539" s="3">
        <v>20</v>
      </c>
      <c r="L539" s="3">
        <v>400</v>
      </c>
      <c r="M539" s="3">
        <v>175</v>
      </c>
      <c r="N539" s="3" t="s">
        <v>13</v>
      </c>
      <c r="O539" s="3" t="str">
        <f t="shared" si="8"/>
        <v>YES</v>
      </c>
      <c r="P539" s="3" t="s">
        <v>103</v>
      </c>
      <c r="Q539" s="3" t="s">
        <v>15</v>
      </c>
    </row>
    <row r="540" spans="1:17" x14ac:dyDescent="0.25">
      <c r="A540" s="2">
        <v>45768</v>
      </c>
      <c r="B540" s="2" t="s">
        <v>486</v>
      </c>
      <c r="C540" s="2" t="s">
        <v>491</v>
      </c>
      <c r="D540" s="3" t="s">
        <v>32</v>
      </c>
      <c r="E540" s="3" t="s">
        <v>58</v>
      </c>
      <c r="F540" s="3" t="s">
        <v>29</v>
      </c>
      <c r="G540" s="3" t="s">
        <v>47</v>
      </c>
      <c r="H540" s="3">
        <v>2</v>
      </c>
      <c r="I540" s="4">
        <v>60</v>
      </c>
      <c r="J540" s="3">
        <v>150</v>
      </c>
      <c r="K540" s="3">
        <v>20</v>
      </c>
      <c r="L540" s="3">
        <v>240</v>
      </c>
      <c r="M540" s="3">
        <v>120</v>
      </c>
      <c r="N540" s="3" t="s">
        <v>35</v>
      </c>
      <c r="O540" s="3" t="str">
        <f t="shared" si="8"/>
        <v>YES</v>
      </c>
      <c r="P540" s="3" t="s">
        <v>449</v>
      </c>
      <c r="Q540" s="3" t="s">
        <v>45</v>
      </c>
    </row>
    <row r="541" spans="1:17" x14ac:dyDescent="0.25">
      <c r="A541" s="2">
        <v>45879</v>
      </c>
      <c r="B541" s="2" t="s">
        <v>495</v>
      </c>
      <c r="C541" s="2" t="s">
        <v>488</v>
      </c>
      <c r="D541" s="3" t="s">
        <v>27</v>
      </c>
      <c r="E541" s="3" t="s">
        <v>70</v>
      </c>
      <c r="F541" s="3" t="s">
        <v>11</v>
      </c>
      <c r="G541" s="3" t="s">
        <v>115</v>
      </c>
      <c r="H541" s="3">
        <v>10</v>
      </c>
      <c r="I541" s="4">
        <v>45</v>
      </c>
      <c r="J541" s="3">
        <v>150</v>
      </c>
      <c r="K541" s="3">
        <v>5</v>
      </c>
      <c r="L541" s="3">
        <v>1425</v>
      </c>
      <c r="M541" s="3">
        <v>975</v>
      </c>
      <c r="N541" s="3" t="s">
        <v>19</v>
      </c>
      <c r="O541" s="3" t="str">
        <f t="shared" si="8"/>
        <v>YES</v>
      </c>
      <c r="P541" s="3" t="s">
        <v>360</v>
      </c>
      <c r="Q541" s="3" t="s">
        <v>37</v>
      </c>
    </row>
    <row r="542" spans="1:17" x14ac:dyDescent="0.25">
      <c r="A542" s="2">
        <v>45926</v>
      </c>
      <c r="B542" s="2" t="s">
        <v>483</v>
      </c>
      <c r="C542" s="2" t="s">
        <v>484</v>
      </c>
      <c r="D542" s="3" t="s">
        <v>32</v>
      </c>
      <c r="E542" s="3" t="s">
        <v>70</v>
      </c>
      <c r="F542" s="3" t="s">
        <v>11</v>
      </c>
      <c r="G542" s="3" t="s">
        <v>105</v>
      </c>
      <c r="H542" s="3">
        <v>1</v>
      </c>
      <c r="I542" s="4">
        <v>30</v>
      </c>
      <c r="J542" s="3">
        <v>100</v>
      </c>
      <c r="K542" s="3">
        <v>5</v>
      </c>
      <c r="L542" s="3">
        <v>95</v>
      </c>
      <c r="M542" s="3">
        <v>65</v>
      </c>
      <c r="N542" s="3" t="s">
        <v>19</v>
      </c>
      <c r="O542" s="3" t="str">
        <f t="shared" si="8"/>
        <v>YES</v>
      </c>
      <c r="P542" s="3" t="s">
        <v>450</v>
      </c>
      <c r="Q542" s="3" t="s">
        <v>41</v>
      </c>
    </row>
    <row r="543" spans="1:17" x14ac:dyDescent="0.25">
      <c r="A543" s="2">
        <v>45977</v>
      </c>
      <c r="B543" s="2" t="s">
        <v>485</v>
      </c>
      <c r="C543" s="2" t="s">
        <v>488</v>
      </c>
      <c r="D543" s="3" t="s">
        <v>32</v>
      </c>
      <c r="E543" s="3" t="s">
        <v>70</v>
      </c>
      <c r="F543" s="3" t="s">
        <v>24</v>
      </c>
      <c r="G543" s="3" t="s">
        <v>42</v>
      </c>
      <c r="H543" s="3">
        <v>5</v>
      </c>
      <c r="I543" s="4">
        <v>67.5</v>
      </c>
      <c r="J543" s="3">
        <v>150</v>
      </c>
      <c r="K543" s="3">
        <v>0</v>
      </c>
      <c r="L543" s="3">
        <v>750</v>
      </c>
      <c r="M543" s="3">
        <v>412.5</v>
      </c>
      <c r="N543" s="3" t="s">
        <v>19</v>
      </c>
      <c r="O543" s="3" t="str">
        <f t="shared" si="8"/>
        <v>NO</v>
      </c>
      <c r="P543" s="3" t="s">
        <v>296</v>
      </c>
      <c r="Q543" s="3" t="s">
        <v>41</v>
      </c>
    </row>
    <row r="544" spans="1:17" x14ac:dyDescent="0.25">
      <c r="A544" s="2">
        <v>45826</v>
      </c>
      <c r="B544" s="2" t="s">
        <v>497</v>
      </c>
      <c r="C544" s="2" t="s">
        <v>487</v>
      </c>
      <c r="D544" s="3" t="s">
        <v>27</v>
      </c>
      <c r="E544" s="3" t="s">
        <v>10</v>
      </c>
      <c r="F544" s="3" t="s">
        <v>17</v>
      </c>
      <c r="G544" s="3" t="s">
        <v>68</v>
      </c>
      <c r="H544" s="3">
        <v>10</v>
      </c>
      <c r="I544" s="4">
        <v>10</v>
      </c>
      <c r="J544" s="3">
        <v>50</v>
      </c>
      <c r="K544" s="3">
        <v>5</v>
      </c>
      <c r="L544" s="3">
        <v>475</v>
      </c>
      <c r="M544" s="3">
        <v>375</v>
      </c>
      <c r="N544" s="3" t="s">
        <v>13</v>
      </c>
      <c r="O544" s="3" t="str">
        <f t="shared" si="8"/>
        <v>YES</v>
      </c>
      <c r="P544" s="3" t="s">
        <v>435</v>
      </c>
      <c r="Q544" s="3" t="s">
        <v>41</v>
      </c>
    </row>
    <row r="545" spans="1:17" x14ac:dyDescent="0.25">
      <c r="A545" s="2">
        <v>45682</v>
      </c>
      <c r="B545" s="2" t="s">
        <v>489</v>
      </c>
      <c r="C545" s="2" t="s">
        <v>490</v>
      </c>
      <c r="D545" s="3" t="s">
        <v>27</v>
      </c>
      <c r="E545" s="3" t="s">
        <v>23</v>
      </c>
      <c r="F545" s="3" t="s">
        <v>29</v>
      </c>
      <c r="G545" s="3" t="s">
        <v>83</v>
      </c>
      <c r="H545" s="3">
        <v>5</v>
      </c>
      <c r="I545" s="4">
        <v>60</v>
      </c>
      <c r="J545" s="3">
        <v>100</v>
      </c>
      <c r="K545" s="3">
        <v>15</v>
      </c>
      <c r="L545" s="3">
        <v>425</v>
      </c>
      <c r="M545" s="3">
        <v>125</v>
      </c>
      <c r="N545" s="3" t="s">
        <v>19</v>
      </c>
      <c r="O545" s="3" t="str">
        <f t="shared" si="8"/>
        <v>YES</v>
      </c>
      <c r="P545" s="3" t="s">
        <v>451</v>
      </c>
      <c r="Q545" s="3" t="s">
        <v>45</v>
      </c>
    </row>
    <row r="546" spans="1:17" x14ac:dyDescent="0.25">
      <c r="A546" s="2">
        <v>45821</v>
      </c>
      <c r="B546" s="2" t="s">
        <v>497</v>
      </c>
      <c r="C546" s="2" t="s">
        <v>484</v>
      </c>
      <c r="D546" s="3" t="s">
        <v>27</v>
      </c>
      <c r="E546" s="3" t="s">
        <v>58</v>
      </c>
      <c r="F546" s="3" t="s">
        <v>17</v>
      </c>
      <c r="G546" s="3" t="s">
        <v>56</v>
      </c>
      <c r="H546" s="3">
        <v>2</v>
      </c>
      <c r="I546" s="4">
        <v>30</v>
      </c>
      <c r="J546" s="3">
        <v>150</v>
      </c>
      <c r="K546" s="3">
        <v>15</v>
      </c>
      <c r="L546" s="3">
        <v>255</v>
      </c>
      <c r="M546" s="3">
        <v>195</v>
      </c>
      <c r="N546" s="3" t="s">
        <v>35</v>
      </c>
      <c r="O546" s="3" t="str">
        <f t="shared" si="8"/>
        <v>YES</v>
      </c>
      <c r="P546" s="3" t="s">
        <v>452</v>
      </c>
      <c r="Q546" s="3" t="s">
        <v>21</v>
      </c>
    </row>
    <row r="547" spans="1:17" x14ac:dyDescent="0.25">
      <c r="A547" s="2">
        <v>45834</v>
      </c>
      <c r="B547" s="2" t="s">
        <v>497</v>
      </c>
      <c r="C547" s="2" t="s">
        <v>496</v>
      </c>
      <c r="D547" s="3" t="s">
        <v>9</v>
      </c>
      <c r="E547" s="3" t="s">
        <v>39</v>
      </c>
      <c r="F547" s="3" t="s">
        <v>29</v>
      </c>
      <c r="G547" s="3" t="s">
        <v>47</v>
      </c>
      <c r="H547" s="3">
        <v>1</v>
      </c>
      <c r="I547" s="4">
        <v>80</v>
      </c>
      <c r="J547" s="3">
        <v>200</v>
      </c>
      <c r="K547" s="3">
        <v>5</v>
      </c>
      <c r="L547" s="3">
        <v>190</v>
      </c>
      <c r="M547" s="3">
        <v>110</v>
      </c>
      <c r="N547" s="3" t="s">
        <v>35</v>
      </c>
      <c r="O547" s="3" t="str">
        <f t="shared" si="8"/>
        <v>YES</v>
      </c>
      <c r="P547" s="3" t="s">
        <v>453</v>
      </c>
      <c r="Q547" s="3" t="s">
        <v>41</v>
      </c>
    </row>
    <row r="548" spans="1:17" x14ac:dyDescent="0.25">
      <c r="A548" s="2">
        <v>45821</v>
      </c>
      <c r="B548" s="2" t="s">
        <v>497</v>
      </c>
      <c r="C548" s="2" t="s">
        <v>484</v>
      </c>
      <c r="D548" s="3" t="s">
        <v>9</v>
      </c>
      <c r="E548" s="3" t="s">
        <v>28</v>
      </c>
      <c r="F548" s="3" t="s">
        <v>24</v>
      </c>
      <c r="G548" s="3" t="s">
        <v>25</v>
      </c>
      <c r="H548" s="3">
        <v>2</v>
      </c>
      <c r="I548" s="4">
        <v>90</v>
      </c>
      <c r="J548" s="3">
        <v>200</v>
      </c>
      <c r="K548" s="3">
        <v>20</v>
      </c>
      <c r="L548" s="3">
        <v>320</v>
      </c>
      <c r="M548" s="3">
        <v>140</v>
      </c>
      <c r="N548" s="3" t="s">
        <v>13</v>
      </c>
      <c r="O548" s="3" t="str">
        <f t="shared" si="8"/>
        <v>YES</v>
      </c>
      <c r="P548" s="3" t="s">
        <v>444</v>
      </c>
      <c r="Q548" s="3" t="s">
        <v>41</v>
      </c>
    </row>
    <row r="549" spans="1:17" x14ac:dyDescent="0.25">
      <c r="A549" s="2">
        <v>45958</v>
      </c>
      <c r="B549" s="2" t="s">
        <v>499</v>
      </c>
      <c r="C549" s="2" t="s">
        <v>493</v>
      </c>
      <c r="D549" s="3" t="s">
        <v>22</v>
      </c>
      <c r="E549" s="3" t="s">
        <v>23</v>
      </c>
      <c r="F549" s="3" t="s">
        <v>11</v>
      </c>
      <c r="G549" s="3" t="s">
        <v>115</v>
      </c>
      <c r="H549" s="3">
        <v>2</v>
      </c>
      <c r="I549" s="4">
        <v>30</v>
      </c>
      <c r="J549" s="3">
        <v>100</v>
      </c>
      <c r="K549" s="3">
        <v>5</v>
      </c>
      <c r="L549" s="3">
        <v>190</v>
      </c>
      <c r="M549" s="3">
        <v>130</v>
      </c>
      <c r="N549" s="3" t="s">
        <v>13</v>
      </c>
      <c r="O549" s="3" t="str">
        <f t="shared" si="8"/>
        <v>YES</v>
      </c>
      <c r="P549" s="3" t="s">
        <v>454</v>
      </c>
      <c r="Q549" s="3" t="s">
        <v>61</v>
      </c>
    </row>
    <row r="550" spans="1:17" x14ac:dyDescent="0.25">
      <c r="A550" s="2">
        <v>45833</v>
      </c>
      <c r="B550" s="2" t="s">
        <v>497</v>
      </c>
      <c r="C550" s="2" t="s">
        <v>487</v>
      </c>
      <c r="D550" s="3" t="s">
        <v>22</v>
      </c>
      <c r="E550" s="3" t="s">
        <v>23</v>
      </c>
      <c r="F550" s="3" t="s">
        <v>24</v>
      </c>
      <c r="G550" s="3" t="s">
        <v>25</v>
      </c>
      <c r="H550" s="3">
        <v>2</v>
      </c>
      <c r="I550" s="4">
        <v>112.5</v>
      </c>
      <c r="J550" s="3">
        <v>250</v>
      </c>
      <c r="K550" s="3">
        <v>20</v>
      </c>
      <c r="L550" s="3">
        <v>400</v>
      </c>
      <c r="M550" s="3">
        <v>175</v>
      </c>
      <c r="N550" s="3" t="s">
        <v>35</v>
      </c>
      <c r="O550" s="3" t="str">
        <f t="shared" si="8"/>
        <v>YES</v>
      </c>
      <c r="P550" s="3" t="s">
        <v>280</v>
      </c>
      <c r="Q550" s="3" t="s">
        <v>21</v>
      </c>
    </row>
    <row r="551" spans="1:17" x14ac:dyDescent="0.25">
      <c r="A551" s="2">
        <v>46011</v>
      </c>
      <c r="B551" s="2" t="s">
        <v>498</v>
      </c>
      <c r="C551" s="2" t="s">
        <v>490</v>
      </c>
      <c r="D551" s="3" t="s">
        <v>32</v>
      </c>
      <c r="E551" s="3" t="s">
        <v>10</v>
      </c>
      <c r="F551" s="3" t="s">
        <v>17</v>
      </c>
      <c r="G551" s="3" t="s">
        <v>56</v>
      </c>
      <c r="H551" s="3">
        <v>2</v>
      </c>
      <c r="I551" s="4">
        <v>50</v>
      </c>
      <c r="J551" s="3">
        <v>250</v>
      </c>
      <c r="K551" s="3">
        <v>0</v>
      </c>
      <c r="L551" s="3">
        <v>500</v>
      </c>
      <c r="M551" s="3">
        <v>400</v>
      </c>
      <c r="N551" s="3" t="s">
        <v>19</v>
      </c>
      <c r="O551" s="3" t="str">
        <f t="shared" si="8"/>
        <v>NO</v>
      </c>
      <c r="P551" s="3" t="s">
        <v>455</v>
      </c>
      <c r="Q551" s="3" t="s">
        <v>21</v>
      </c>
    </row>
    <row r="552" spans="1:17" x14ac:dyDescent="0.25">
      <c r="A552" s="2">
        <v>45675</v>
      </c>
      <c r="B552" s="2" t="s">
        <v>489</v>
      </c>
      <c r="C552" s="2" t="s">
        <v>490</v>
      </c>
      <c r="D552" s="3" t="s">
        <v>9</v>
      </c>
      <c r="E552" s="3" t="s">
        <v>16</v>
      </c>
      <c r="F552" s="3" t="s">
        <v>33</v>
      </c>
      <c r="G552" s="3" t="s">
        <v>50</v>
      </c>
      <c r="H552" s="3">
        <v>2</v>
      </c>
      <c r="I552" s="4">
        <v>67.5</v>
      </c>
      <c r="J552" s="3">
        <v>100</v>
      </c>
      <c r="K552" s="3">
        <v>0</v>
      </c>
      <c r="L552" s="3">
        <v>200</v>
      </c>
      <c r="M552" s="3">
        <v>65</v>
      </c>
      <c r="N552" s="3" t="s">
        <v>35</v>
      </c>
      <c r="O552" s="3" t="str">
        <f t="shared" si="8"/>
        <v>NO</v>
      </c>
      <c r="P552" s="3" t="s">
        <v>49</v>
      </c>
      <c r="Q552" s="3" t="s">
        <v>61</v>
      </c>
    </row>
    <row r="553" spans="1:17" x14ac:dyDescent="0.25">
      <c r="A553" s="2">
        <v>45819</v>
      </c>
      <c r="B553" s="2" t="s">
        <v>497</v>
      </c>
      <c r="C553" s="2" t="s">
        <v>487</v>
      </c>
      <c r="D553" s="3" t="s">
        <v>32</v>
      </c>
      <c r="E553" s="3" t="s">
        <v>39</v>
      </c>
      <c r="F553" s="3" t="s">
        <v>11</v>
      </c>
      <c r="G553" s="3" t="s">
        <v>59</v>
      </c>
      <c r="H553" s="3">
        <v>2</v>
      </c>
      <c r="I553" s="4">
        <v>45</v>
      </c>
      <c r="J553" s="3">
        <v>150</v>
      </c>
      <c r="K553" s="3">
        <v>20</v>
      </c>
      <c r="L553" s="3">
        <v>240</v>
      </c>
      <c r="M553" s="3">
        <v>150</v>
      </c>
      <c r="N553" s="3" t="s">
        <v>35</v>
      </c>
      <c r="O553" s="3" t="str">
        <f t="shared" si="8"/>
        <v>YES</v>
      </c>
      <c r="P553" s="3" t="s">
        <v>245</v>
      </c>
      <c r="Q553" s="3" t="s">
        <v>15</v>
      </c>
    </row>
    <row r="554" spans="1:17" x14ac:dyDescent="0.25">
      <c r="A554" s="2">
        <v>45821</v>
      </c>
      <c r="B554" s="2" t="s">
        <v>497</v>
      </c>
      <c r="C554" s="2" t="s">
        <v>484</v>
      </c>
      <c r="D554" s="3" t="s">
        <v>32</v>
      </c>
      <c r="E554" s="3" t="s">
        <v>39</v>
      </c>
      <c r="F554" s="3" t="s">
        <v>24</v>
      </c>
      <c r="G554" s="3" t="s">
        <v>71</v>
      </c>
      <c r="H554" s="3">
        <v>10</v>
      </c>
      <c r="I554" s="4">
        <v>90</v>
      </c>
      <c r="J554" s="3">
        <v>200</v>
      </c>
      <c r="K554" s="3">
        <v>15</v>
      </c>
      <c r="L554" s="3">
        <v>1700</v>
      </c>
      <c r="M554" s="3">
        <v>800</v>
      </c>
      <c r="N554" s="3" t="s">
        <v>13</v>
      </c>
      <c r="O554" s="3" t="str">
        <f t="shared" si="8"/>
        <v>YES</v>
      </c>
      <c r="P554" s="3" t="s">
        <v>456</v>
      </c>
      <c r="Q554" s="3" t="s">
        <v>37</v>
      </c>
    </row>
    <row r="555" spans="1:17" x14ac:dyDescent="0.25">
      <c r="A555" s="2">
        <v>45940</v>
      </c>
      <c r="B555" s="2" t="s">
        <v>499</v>
      </c>
      <c r="C555" s="2" t="s">
        <v>484</v>
      </c>
      <c r="D555" s="3" t="s">
        <v>32</v>
      </c>
      <c r="E555" s="3" t="s">
        <v>58</v>
      </c>
      <c r="F555" s="3" t="s">
        <v>11</v>
      </c>
      <c r="G555" s="3" t="s">
        <v>131</v>
      </c>
      <c r="H555" s="3">
        <v>5</v>
      </c>
      <c r="I555" s="4">
        <v>45</v>
      </c>
      <c r="J555" s="3">
        <v>150</v>
      </c>
      <c r="K555" s="3">
        <v>15</v>
      </c>
      <c r="L555" s="3">
        <v>637.5</v>
      </c>
      <c r="M555" s="3">
        <v>412.5</v>
      </c>
      <c r="N555" s="3" t="s">
        <v>35</v>
      </c>
      <c r="O555" s="3" t="str">
        <f t="shared" si="8"/>
        <v>YES</v>
      </c>
      <c r="P555" s="3" t="s">
        <v>457</v>
      </c>
      <c r="Q555" s="3" t="s">
        <v>61</v>
      </c>
    </row>
    <row r="556" spans="1:17" x14ac:dyDescent="0.25">
      <c r="A556" s="2">
        <v>45982</v>
      </c>
      <c r="B556" s="2" t="s">
        <v>485</v>
      </c>
      <c r="C556" s="2" t="s">
        <v>484</v>
      </c>
      <c r="D556" s="3" t="s">
        <v>22</v>
      </c>
      <c r="E556" s="3" t="s">
        <v>16</v>
      </c>
      <c r="F556" s="3" t="s">
        <v>17</v>
      </c>
      <c r="G556" s="3" t="s">
        <v>18</v>
      </c>
      <c r="H556" s="3">
        <v>2</v>
      </c>
      <c r="I556" s="4">
        <v>30</v>
      </c>
      <c r="J556" s="3">
        <v>150</v>
      </c>
      <c r="K556" s="3">
        <v>10</v>
      </c>
      <c r="L556" s="3">
        <v>270</v>
      </c>
      <c r="M556" s="3">
        <v>210</v>
      </c>
      <c r="N556" s="3" t="s">
        <v>35</v>
      </c>
      <c r="O556" s="3" t="str">
        <f t="shared" si="8"/>
        <v>YES</v>
      </c>
      <c r="P556" s="3" t="s">
        <v>458</v>
      </c>
      <c r="Q556" s="3" t="s">
        <v>41</v>
      </c>
    </row>
    <row r="557" spans="1:17" x14ac:dyDescent="0.25">
      <c r="A557" s="2">
        <v>45729</v>
      </c>
      <c r="B557" s="2" t="s">
        <v>494</v>
      </c>
      <c r="C557" s="2" t="s">
        <v>496</v>
      </c>
      <c r="D557" s="3" t="s">
        <v>9</v>
      </c>
      <c r="E557" s="3" t="s">
        <v>16</v>
      </c>
      <c r="F557" s="3" t="s">
        <v>24</v>
      </c>
      <c r="G557" s="3" t="s">
        <v>71</v>
      </c>
      <c r="H557" s="3">
        <v>5</v>
      </c>
      <c r="I557" s="4">
        <v>45</v>
      </c>
      <c r="J557" s="3">
        <v>100</v>
      </c>
      <c r="K557" s="3">
        <v>10</v>
      </c>
      <c r="L557" s="3">
        <v>450</v>
      </c>
      <c r="M557" s="3">
        <v>225</v>
      </c>
      <c r="N557" s="3" t="s">
        <v>35</v>
      </c>
      <c r="O557" s="3" t="str">
        <f t="shared" si="8"/>
        <v>YES</v>
      </c>
      <c r="P557" s="3" t="s">
        <v>324</v>
      </c>
      <c r="Q557" s="3" t="s">
        <v>41</v>
      </c>
    </row>
    <row r="558" spans="1:17" x14ac:dyDescent="0.25">
      <c r="A558" s="2">
        <v>45692</v>
      </c>
      <c r="B558" s="2" t="s">
        <v>500</v>
      </c>
      <c r="C558" s="2" t="s">
        <v>493</v>
      </c>
      <c r="D558" s="3" t="s">
        <v>27</v>
      </c>
      <c r="E558" s="3" t="s">
        <v>28</v>
      </c>
      <c r="F558" s="3" t="s">
        <v>17</v>
      </c>
      <c r="G558" s="3" t="s">
        <v>56</v>
      </c>
      <c r="H558" s="3">
        <v>2</v>
      </c>
      <c r="I558" s="4">
        <v>20</v>
      </c>
      <c r="J558" s="3">
        <v>100</v>
      </c>
      <c r="K558" s="3">
        <v>20</v>
      </c>
      <c r="L558" s="3">
        <v>160</v>
      </c>
      <c r="M558" s="3">
        <v>120</v>
      </c>
      <c r="N558" s="3" t="s">
        <v>35</v>
      </c>
      <c r="O558" s="3" t="str">
        <f t="shared" si="8"/>
        <v>YES</v>
      </c>
      <c r="P558" s="3" t="s">
        <v>459</v>
      </c>
      <c r="Q558" s="3" t="s">
        <v>61</v>
      </c>
    </row>
    <row r="559" spans="1:17" x14ac:dyDescent="0.25">
      <c r="A559" s="2">
        <v>45675</v>
      </c>
      <c r="B559" s="2" t="s">
        <v>489</v>
      </c>
      <c r="C559" s="2" t="s">
        <v>490</v>
      </c>
      <c r="D559" s="3" t="s">
        <v>22</v>
      </c>
      <c r="E559" s="3" t="s">
        <v>10</v>
      </c>
      <c r="F559" s="3" t="s">
        <v>11</v>
      </c>
      <c r="G559" s="3" t="s">
        <v>131</v>
      </c>
      <c r="H559" s="3">
        <v>2</v>
      </c>
      <c r="I559" s="4">
        <v>60</v>
      </c>
      <c r="J559" s="3">
        <v>200</v>
      </c>
      <c r="K559" s="3">
        <v>10</v>
      </c>
      <c r="L559" s="3">
        <v>360</v>
      </c>
      <c r="M559" s="3">
        <v>240</v>
      </c>
      <c r="N559" s="3" t="s">
        <v>13</v>
      </c>
      <c r="O559" s="3" t="str">
        <f t="shared" si="8"/>
        <v>YES</v>
      </c>
      <c r="P559" s="3" t="s">
        <v>93</v>
      </c>
      <c r="Q559" s="3" t="s">
        <v>61</v>
      </c>
    </row>
    <row r="560" spans="1:17" x14ac:dyDescent="0.25">
      <c r="A560" s="2">
        <v>45842</v>
      </c>
      <c r="B560" s="2" t="s">
        <v>501</v>
      </c>
      <c r="C560" s="2" t="s">
        <v>484</v>
      </c>
      <c r="D560" s="3" t="s">
        <v>32</v>
      </c>
      <c r="E560" s="3" t="s">
        <v>10</v>
      </c>
      <c r="F560" s="3" t="s">
        <v>24</v>
      </c>
      <c r="G560" s="3" t="s">
        <v>25</v>
      </c>
      <c r="H560" s="3">
        <v>3</v>
      </c>
      <c r="I560" s="4">
        <v>90</v>
      </c>
      <c r="J560" s="3">
        <v>200</v>
      </c>
      <c r="K560" s="3">
        <v>0</v>
      </c>
      <c r="L560" s="3">
        <v>600</v>
      </c>
      <c r="M560" s="3">
        <v>330</v>
      </c>
      <c r="N560" s="3" t="s">
        <v>19</v>
      </c>
      <c r="O560" s="3" t="str">
        <f t="shared" si="8"/>
        <v>NO</v>
      </c>
      <c r="P560" s="3" t="s">
        <v>316</v>
      </c>
      <c r="Q560" s="3" t="s">
        <v>61</v>
      </c>
    </row>
    <row r="561" spans="1:17" x14ac:dyDescent="0.25">
      <c r="A561" s="2">
        <v>45934</v>
      </c>
      <c r="B561" s="2" t="s">
        <v>499</v>
      </c>
      <c r="C561" s="2" t="s">
        <v>490</v>
      </c>
      <c r="D561" s="3" t="s">
        <v>38</v>
      </c>
      <c r="E561" s="3" t="s">
        <v>39</v>
      </c>
      <c r="F561" s="3" t="s">
        <v>33</v>
      </c>
      <c r="G561" s="3" t="s">
        <v>88</v>
      </c>
      <c r="H561" s="3">
        <v>3</v>
      </c>
      <c r="I561" s="4">
        <v>67.5</v>
      </c>
      <c r="J561" s="3">
        <v>100</v>
      </c>
      <c r="K561" s="3">
        <v>15</v>
      </c>
      <c r="L561" s="3">
        <v>255</v>
      </c>
      <c r="M561" s="3">
        <v>52.5</v>
      </c>
      <c r="N561" s="3" t="s">
        <v>13</v>
      </c>
      <c r="O561" s="3" t="str">
        <f t="shared" si="8"/>
        <v>YES</v>
      </c>
      <c r="P561" s="3" t="s">
        <v>127</v>
      </c>
      <c r="Q561" s="3" t="s">
        <v>15</v>
      </c>
    </row>
    <row r="562" spans="1:17" x14ac:dyDescent="0.25">
      <c r="A562" s="2">
        <v>46007</v>
      </c>
      <c r="B562" s="2" t="s">
        <v>498</v>
      </c>
      <c r="C562" s="2" t="s">
        <v>493</v>
      </c>
      <c r="D562" s="3" t="s">
        <v>9</v>
      </c>
      <c r="E562" s="3" t="s">
        <v>70</v>
      </c>
      <c r="F562" s="3" t="s">
        <v>29</v>
      </c>
      <c r="G562" s="3" t="s">
        <v>83</v>
      </c>
      <c r="H562" s="3">
        <v>10</v>
      </c>
      <c r="I562" s="4">
        <v>60</v>
      </c>
      <c r="J562" s="3">
        <v>150</v>
      </c>
      <c r="K562" s="3">
        <v>0</v>
      </c>
      <c r="L562" s="3">
        <v>1500</v>
      </c>
      <c r="M562" s="3">
        <v>900</v>
      </c>
      <c r="N562" s="3" t="s">
        <v>19</v>
      </c>
      <c r="O562" s="3" t="str">
        <f t="shared" si="8"/>
        <v>NO</v>
      </c>
      <c r="P562" s="3" t="s">
        <v>460</v>
      </c>
      <c r="Q562" s="3" t="s">
        <v>41</v>
      </c>
    </row>
    <row r="563" spans="1:17" x14ac:dyDescent="0.25">
      <c r="A563" s="2">
        <v>45937</v>
      </c>
      <c r="B563" s="2" t="s">
        <v>499</v>
      </c>
      <c r="C563" s="2" t="s">
        <v>493</v>
      </c>
      <c r="D563" s="3" t="s">
        <v>32</v>
      </c>
      <c r="E563" s="3" t="s">
        <v>16</v>
      </c>
      <c r="F563" s="3" t="s">
        <v>24</v>
      </c>
      <c r="G563" s="3" t="s">
        <v>42</v>
      </c>
      <c r="H563" s="3">
        <v>5</v>
      </c>
      <c r="I563" s="4">
        <v>67.5</v>
      </c>
      <c r="J563" s="3">
        <v>150</v>
      </c>
      <c r="K563" s="3">
        <v>0</v>
      </c>
      <c r="L563" s="3">
        <v>750</v>
      </c>
      <c r="M563" s="3">
        <v>412.5</v>
      </c>
      <c r="N563" s="3" t="s">
        <v>19</v>
      </c>
      <c r="O563" s="3" t="str">
        <f t="shared" si="8"/>
        <v>NO</v>
      </c>
      <c r="P563" s="3" t="s">
        <v>461</v>
      </c>
      <c r="Q563" s="3" t="s">
        <v>41</v>
      </c>
    </row>
    <row r="564" spans="1:17" x14ac:dyDescent="0.25">
      <c r="A564" s="2">
        <v>45739</v>
      </c>
      <c r="B564" s="2" t="s">
        <v>494</v>
      </c>
      <c r="C564" s="2" t="s">
        <v>488</v>
      </c>
      <c r="D564" s="3" t="s">
        <v>38</v>
      </c>
      <c r="E564" s="3" t="s">
        <v>23</v>
      </c>
      <c r="F564" s="3" t="s">
        <v>11</v>
      </c>
      <c r="G564" s="3" t="s">
        <v>115</v>
      </c>
      <c r="H564" s="3">
        <v>3</v>
      </c>
      <c r="I564" s="4">
        <v>60</v>
      </c>
      <c r="J564" s="3">
        <v>200</v>
      </c>
      <c r="K564" s="3">
        <v>15</v>
      </c>
      <c r="L564" s="3">
        <v>510</v>
      </c>
      <c r="M564" s="3">
        <v>330</v>
      </c>
      <c r="N564" s="3" t="s">
        <v>35</v>
      </c>
      <c r="O564" s="3" t="str">
        <f t="shared" si="8"/>
        <v>YES</v>
      </c>
      <c r="P564" s="3" t="s">
        <v>328</v>
      </c>
      <c r="Q564" s="3" t="s">
        <v>41</v>
      </c>
    </row>
    <row r="565" spans="1:17" x14ac:dyDescent="0.25">
      <c r="A565" s="2">
        <v>46006</v>
      </c>
      <c r="B565" s="2" t="s">
        <v>498</v>
      </c>
      <c r="C565" s="2" t="s">
        <v>491</v>
      </c>
      <c r="D565" s="3" t="s">
        <v>22</v>
      </c>
      <c r="E565" s="3" t="s">
        <v>28</v>
      </c>
      <c r="F565" s="3" t="s">
        <v>24</v>
      </c>
      <c r="G565" s="3" t="s">
        <v>71</v>
      </c>
      <c r="H565" s="3">
        <v>1</v>
      </c>
      <c r="I565" s="4">
        <v>45</v>
      </c>
      <c r="J565" s="3">
        <v>100</v>
      </c>
      <c r="K565" s="3">
        <v>10</v>
      </c>
      <c r="L565" s="3">
        <v>90</v>
      </c>
      <c r="M565" s="3">
        <v>45</v>
      </c>
      <c r="N565" s="3" t="s">
        <v>35</v>
      </c>
      <c r="O565" s="3" t="str">
        <f t="shared" si="8"/>
        <v>YES</v>
      </c>
      <c r="P565" s="3" t="s">
        <v>386</v>
      </c>
      <c r="Q565" s="3" t="s">
        <v>15</v>
      </c>
    </row>
    <row r="566" spans="1:17" x14ac:dyDescent="0.25">
      <c r="A566" s="2">
        <v>45760</v>
      </c>
      <c r="B566" s="2" t="s">
        <v>486</v>
      </c>
      <c r="C566" s="2" t="s">
        <v>488</v>
      </c>
      <c r="D566" s="3" t="s">
        <v>22</v>
      </c>
      <c r="E566" s="3" t="s">
        <v>10</v>
      </c>
      <c r="F566" s="3" t="s">
        <v>24</v>
      </c>
      <c r="G566" s="3" t="s">
        <v>81</v>
      </c>
      <c r="H566" s="3">
        <v>2</v>
      </c>
      <c r="I566" s="4">
        <v>67.5</v>
      </c>
      <c r="J566" s="3">
        <v>150</v>
      </c>
      <c r="K566" s="3">
        <v>0</v>
      </c>
      <c r="L566" s="3">
        <v>300</v>
      </c>
      <c r="M566" s="3">
        <v>165</v>
      </c>
      <c r="N566" s="3" t="s">
        <v>19</v>
      </c>
      <c r="O566" s="3" t="str">
        <f t="shared" si="8"/>
        <v>NO</v>
      </c>
      <c r="P566" s="3" t="s">
        <v>462</v>
      </c>
      <c r="Q566" s="3" t="s">
        <v>45</v>
      </c>
    </row>
    <row r="567" spans="1:17" x14ac:dyDescent="0.25">
      <c r="A567" s="2">
        <v>45834</v>
      </c>
      <c r="B567" s="2" t="s">
        <v>497</v>
      </c>
      <c r="C567" s="2" t="s">
        <v>496</v>
      </c>
      <c r="D567" s="3" t="s">
        <v>32</v>
      </c>
      <c r="E567" s="3" t="s">
        <v>39</v>
      </c>
      <c r="F567" s="3" t="s">
        <v>17</v>
      </c>
      <c r="G567" s="3" t="s">
        <v>56</v>
      </c>
      <c r="H567" s="3">
        <v>1</v>
      </c>
      <c r="I567" s="4">
        <v>40</v>
      </c>
      <c r="J567" s="3">
        <v>200</v>
      </c>
      <c r="K567" s="3">
        <v>20</v>
      </c>
      <c r="L567" s="3">
        <v>160</v>
      </c>
      <c r="M567" s="3">
        <v>120</v>
      </c>
      <c r="N567" s="3" t="s">
        <v>13</v>
      </c>
      <c r="O567" s="3" t="str">
        <f t="shared" si="8"/>
        <v>YES</v>
      </c>
      <c r="P567" s="3" t="s">
        <v>463</v>
      </c>
      <c r="Q567" s="3" t="s">
        <v>21</v>
      </c>
    </row>
    <row r="568" spans="1:17" x14ac:dyDescent="0.25">
      <c r="A568" s="2">
        <v>45927</v>
      </c>
      <c r="B568" s="2" t="s">
        <v>483</v>
      </c>
      <c r="C568" s="2" t="s">
        <v>490</v>
      </c>
      <c r="D568" s="3" t="s">
        <v>27</v>
      </c>
      <c r="E568" s="3" t="s">
        <v>10</v>
      </c>
      <c r="F568" s="3" t="s">
        <v>29</v>
      </c>
      <c r="G568" s="3" t="s">
        <v>54</v>
      </c>
      <c r="H568" s="3">
        <v>10</v>
      </c>
      <c r="I568" s="4">
        <v>80</v>
      </c>
      <c r="J568" s="3">
        <v>250</v>
      </c>
      <c r="K568" s="3">
        <v>20</v>
      </c>
      <c r="L568" s="3">
        <v>2000</v>
      </c>
      <c r="M568" s="3">
        <v>1200</v>
      </c>
      <c r="N568" s="3" t="s">
        <v>35</v>
      </c>
      <c r="O568" s="3" t="str">
        <f t="shared" si="8"/>
        <v>YES</v>
      </c>
      <c r="P568" s="3" t="s">
        <v>464</v>
      </c>
      <c r="Q568" s="3" t="s">
        <v>15</v>
      </c>
    </row>
    <row r="569" spans="1:17" x14ac:dyDescent="0.25">
      <c r="A569" s="2">
        <v>45730</v>
      </c>
      <c r="B569" s="2" t="s">
        <v>494</v>
      </c>
      <c r="C569" s="2" t="s">
        <v>484</v>
      </c>
      <c r="D569" s="3" t="s">
        <v>27</v>
      </c>
      <c r="E569" s="3" t="s">
        <v>10</v>
      </c>
      <c r="F569" s="3" t="s">
        <v>11</v>
      </c>
      <c r="G569" s="3" t="s">
        <v>12</v>
      </c>
      <c r="H569" s="3">
        <v>2</v>
      </c>
      <c r="I569" s="4">
        <v>60</v>
      </c>
      <c r="J569" s="3">
        <v>200</v>
      </c>
      <c r="K569" s="3">
        <v>0</v>
      </c>
      <c r="L569" s="3">
        <v>400</v>
      </c>
      <c r="M569" s="3">
        <v>280</v>
      </c>
      <c r="N569" s="3" t="s">
        <v>13</v>
      </c>
      <c r="O569" s="3" t="str">
        <f t="shared" si="8"/>
        <v>NO</v>
      </c>
      <c r="P569" s="3" t="s">
        <v>465</v>
      </c>
      <c r="Q569" s="3" t="s">
        <v>15</v>
      </c>
    </row>
    <row r="570" spans="1:17" x14ac:dyDescent="0.25">
      <c r="A570" s="2">
        <v>45921</v>
      </c>
      <c r="B570" s="2" t="s">
        <v>483</v>
      </c>
      <c r="C570" s="2" t="s">
        <v>488</v>
      </c>
      <c r="D570" s="3" t="s">
        <v>22</v>
      </c>
      <c r="E570" s="3" t="s">
        <v>70</v>
      </c>
      <c r="F570" s="3" t="s">
        <v>24</v>
      </c>
      <c r="G570" s="3" t="s">
        <v>81</v>
      </c>
      <c r="H570" s="3">
        <v>2</v>
      </c>
      <c r="I570" s="4">
        <v>67.5</v>
      </c>
      <c r="J570" s="3">
        <v>150</v>
      </c>
      <c r="K570" s="3">
        <v>0</v>
      </c>
      <c r="L570" s="3">
        <v>300</v>
      </c>
      <c r="M570" s="3">
        <v>165</v>
      </c>
      <c r="N570" s="3" t="s">
        <v>13</v>
      </c>
      <c r="O570" s="3" t="str">
        <f t="shared" si="8"/>
        <v>NO</v>
      </c>
      <c r="P570" s="3" t="s">
        <v>466</v>
      </c>
      <c r="Q570" s="3" t="s">
        <v>15</v>
      </c>
    </row>
    <row r="571" spans="1:17" x14ac:dyDescent="0.25">
      <c r="A571" s="2">
        <v>45879</v>
      </c>
      <c r="B571" s="2" t="s">
        <v>495</v>
      </c>
      <c r="C571" s="2" t="s">
        <v>488</v>
      </c>
      <c r="D571" s="3" t="s">
        <v>9</v>
      </c>
      <c r="E571" s="3" t="s">
        <v>70</v>
      </c>
      <c r="F571" s="3" t="s">
        <v>17</v>
      </c>
      <c r="G571" s="3" t="s">
        <v>68</v>
      </c>
      <c r="H571" s="3">
        <v>3</v>
      </c>
      <c r="I571" s="4">
        <v>10</v>
      </c>
      <c r="J571" s="3">
        <v>50</v>
      </c>
      <c r="K571" s="3">
        <v>20</v>
      </c>
      <c r="L571" s="3">
        <v>120</v>
      </c>
      <c r="M571" s="3">
        <v>90</v>
      </c>
      <c r="N571" s="3" t="s">
        <v>35</v>
      </c>
      <c r="O571" s="3" t="str">
        <f t="shared" si="8"/>
        <v>YES</v>
      </c>
      <c r="P571" s="3" t="s">
        <v>467</v>
      </c>
      <c r="Q571" s="3" t="s">
        <v>45</v>
      </c>
    </row>
    <row r="572" spans="1:17" x14ac:dyDescent="0.25">
      <c r="A572" s="2">
        <v>45924</v>
      </c>
      <c r="B572" s="2" t="s">
        <v>483</v>
      </c>
      <c r="C572" s="2" t="s">
        <v>487</v>
      </c>
      <c r="D572" s="3" t="s">
        <v>38</v>
      </c>
      <c r="E572" s="3" t="s">
        <v>39</v>
      </c>
      <c r="F572" s="3" t="s">
        <v>17</v>
      </c>
      <c r="G572" s="3" t="s">
        <v>107</v>
      </c>
      <c r="H572" s="3">
        <v>2</v>
      </c>
      <c r="I572" s="4">
        <v>10</v>
      </c>
      <c r="J572" s="3">
        <v>50</v>
      </c>
      <c r="K572" s="3">
        <v>0</v>
      </c>
      <c r="L572" s="3">
        <v>100</v>
      </c>
      <c r="M572" s="3">
        <v>80</v>
      </c>
      <c r="N572" s="3" t="s">
        <v>19</v>
      </c>
      <c r="O572" s="3" t="str">
        <f t="shared" si="8"/>
        <v>NO</v>
      </c>
      <c r="P572" s="3" t="s">
        <v>468</v>
      </c>
      <c r="Q572" s="3" t="s">
        <v>15</v>
      </c>
    </row>
    <row r="573" spans="1:17" x14ac:dyDescent="0.25">
      <c r="A573" s="2">
        <v>45841</v>
      </c>
      <c r="B573" s="2" t="s">
        <v>501</v>
      </c>
      <c r="C573" s="2" t="s">
        <v>496</v>
      </c>
      <c r="D573" s="3" t="s">
        <v>32</v>
      </c>
      <c r="E573" s="3" t="s">
        <v>23</v>
      </c>
      <c r="F573" s="3" t="s">
        <v>33</v>
      </c>
      <c r="G573" s="3" t="s">
        <v>34</v>
      </c>
      <c r="H573" s="3">
        <v>3</v>
      </c>
      <c r="I573" s="4">
        <v>112.5</v>
      </c>
      <c r="J573" s="3">
        <v>250</v>
      </c>
      <c r="K573" s="3">
        <v>5</v>
      </c>
      <c r="L573" s="3">
        <v>712.5</v>
      </c>
      <c r="M573" s="3">
        <v>375</v>
      </c>
      <c r="N573" s="3" t="s">
        <v>35</v>
      </c>
      <c r="O573" s="3" t="str">
        <f t="shared" si="8"/>
        <v>YES</v>
      </c>
      <c r="P573" s="3" t="s">
        <v>463</v>
      </c>
      <c r="Q573" s="3" t="s">
        <v>41</v>
      </c>
    </row>
    <row r="574" spans="1:17" x14ac:dyDescent="0.25">
      <c r="A574" s="2">
        <v>45785</v>
      </c>
      <c r="B574" s="2" t="s">
        <v>492</v>
      </c>
      <c r="C574" s="2" t="s">
        <v>496</v>
      </c>
      <c r="D574" s="3" t="s">
        <v>22</v>
      </c>
      <c r="E574" s="3" t="s">
        <v>28</v>
      </c>
      <c r="F574" s="3" t="s">
        <v>29</v>
      </c>
      <c r="G574" s="3" t="s">
        <v>30</v>
      </c>
      <c r="H574" s="3">
        <v>1</v>
      </c>
      <c r="I574" s="4">
        <v>20</v>
      </c>
      <c r="J574" s="3">
        <v>250</v>
      </c>
      <c r="K574" s="3">
        <v>20</v>
      </c>
      <c r="L574" s="3">
        <v>200</v>
      </c>
      <c r="M574" s="3">
        <v>180</v>
      </c>
      <c r="N574" s="3" t="s">
        <v>13</v>
      </c>
      <c r="O574" s="3" t="str">
        <f t="shared" si="8"/>
        <v>YES</v>
      </c>
      <c r="P574" s="3" t="s">
        <v>307</v>
      </c>
      <c r="Q574" s="3" t="s">
        <v>37</v>
      </c>
    </row>
    <row r="575" spans="1:17" x14ac:dyDescent="0.25">
      <c r="A575" s="2">
        <v>45811</v>
      </c>
      <c r="B575" s="2" t="s">
        <v>497</v>
      </c>
      <c r="C575" s="2" t="s">
        <v>493</v>
      </c>
      <c r="D575" s="3" t="s">
        <v>32</v>
      </c>
      <c r="E575" s="3" t="s">
        <v>39</v>
      </c>
      <c r="F575" s="3" t="s">
        <v>17</v>
      </c>
      <c r="G575" s="3" t="s">
        <v>18</v>
      </c>
      <c r="H575" s="3">
        <v>10</v>
      </c>
      <c r="I575" s="4">
        <v>10</v>
      </c>
      <c r="J575" s="3">
        <v>50</v>
      </c>
      <c r="K575" s="3">
        <v>15</v>
      </c>
      <c r="L575" s="3">
        <v>425</v>
      </c>
      <c r="M575" s="3">
        <v>325</v>
      </c>
      <c r="N575" s="3" t="s">
        <v>35</v>
      </c>
      <c r="O575" s="3" t="str">
        <f t="shared" si="8"/>
        <v>YES</v>
      </c>
      <c r="P575" s="3" t="s">
        <v>355</v>
      </c>
      <c r="Q575" s="3" t="s">
        <v>15</v>
      </c>
    </row>
    <row r="576" spans="1:17" x14ac:dyDescent="0.25">
      <c r="A576" s="2">
        <v>45768</v>
      </c>
      <c r="B576" s="2" t="s">
        <v>486</v>
      </c>
      <c r="C576" s="2" t="s">
        <v>491</v>
      </c>
      <c r="D576" s="3" t="s">
        <v>38</v>
      </c>
      <c r="E576" s="3" t="s">
        <v>10</v>
      </c>
      <c r="F576" s="3" t="s">
        <v>24</v>
      </c>
      <c r="G576" s="3" t="s">
        <v>71</v>
      </c>
      <c r="H576" s="3">
        <v>1</v>
      </c>
      <c r="I576" s="4">
        <v>90</v>
      </c>
      <c r="J576" s="3">
        <v>200</v>
      </c>
      <c r="K576" s="3">
        <v>10</v>
      </c>
      <c r="L576" s="3">
        <v>180</v>
      </c>
      <c r="M576" s="3">
        <v>90</v>
      </c>
      <c r="N576" s="3" t="s">
        <v>19</v>
      </c>
      <c r="O576" s="3" t="str">
        <f t="shared" si="8"/>
        <v>YES</v>
      </c>
      <c r="P576" s="3" t="s">
        <v>398</v>
      </c>
      <c r="Q576" s="3" t="s">
        <v>45</v>
      </c>
    </row>
    <row r="577" spans="1:17" x14ac:dyDescent="0.25">
      <c r="A577" s="2">
        <v>45871</v>
      </c>
      <c r="B577" s="2" t="s">
        <v>495</v>
      </c>
      <c r="C577" s="2" t="s">
        <v>490</v>
      </c>
      <c r="D577" s="3" t="s">
        <v>22</v>
      </c>
      <c r="E577" s="3" t="s">
        <v>23</v>
      </c>
      <c r="F577" s="3" t="s">
        <v>17</v>
      </c>
      <c r="G577" s="3" t="s">
        <v>68</v>
      </c>
      <c r="H577" s="3">
        <v>10</v>
      </c>
      <c r="I577" s="4">
        <v>40</v>
      </c>
      <c r="J577" s="3">
        <v>200</v>
      </c>
      <c r="K577" s="3">
        <v>15</v>
      </c>
      <c r="L577" s="3">
        <v>1700</v>
      </c>
      <c r="M577" s="3">
        <v>1300</v>
      </c>
      <c r="N577" s="3" t="s">
        <v>13</v>
      </c>
      <c r="O577" s="3" t="str">
        <f t="shared" si="8"/>
        <v>YES</v>
      </c>
      <c r="P577" s="3" t="s">
        <v>469</v>
      </c>
      <c r="Q577" s="3" t="s">
        <v>61</v>
      </c>
    </row>
    <row r="578" spans="1:17" x14ac:dyDescent="0.25">
      <c r="A578" s="2">
        <v>45670</v>
      </c>
      <c r="B578" s="2" t="s">
        <v>489</v>
      </c>
      <c r="C578" s="2" t="s">
        <v>491</v>
      </c>
      <c r="D578" s="3" t="s">
        <v>9</v>
      </c>
      <c r="E578" s="3" t="s">
        <v>16</v>
      </c>
      <c r="F578" s="3" t="s">
        <v>11</v>
      </c>
      <c r="G578" s="3" t="s">
        <v>12</v>
      </c>
      <c r="H578" s="3">
        <v>1</v>
      </c>
      <c r="I578" s="4">
        <v>45</v>
      </c>
      <c r="J578" s="3">
        <v>150</v>
      </c>
      <c r="K578" s="3">
        <v>0</v>
      </c>
      <c r="L578" s="3">
        <v>150</v>
      </c>
      <c r="M578" s="3">
        <v>105</v>
      </c>
      <c r="N578" s="3" t="s">
        <v>35</v>
      </c>
      <c r="O578" s="3" t="str">
        <f t="shared" si="8"/>
        <v>NO</v>
      </c>
      <c r="P578" s="3" t="s">
        <v>470</v>
      </c>
      <c r="Q578" s="3" t="s">
        <v>15</v>
      </c>
    </row>
    <row r="579" spans="1:17" x14ac:dyDescent="0.25">
      <c r="A579" s="2">
        <v>45798</v>
      </c>
      <c r="B579" s="2" t="s">
        <v>492</v>
      </c>
      <c r="C579" s="2" t="s">
        <v>487</v>
      </c>
      <c r="D579" s="3" t="s">
        <v>38</v>
      </c>
      <c r="E579" s="3" t="s">
        <v>10</v>
      </c>
      <c r="F579" s="3" t="s">
        <v>11</v>
      </c>
      <c r="G579" s="3" t="s">
        <v>105</v>
      </c>
      <c r="H579" s="3">
        <v>1</v>
      </c>
      <c r="I579" s="4">
        <v>30</v>
      </c>
      <c r="J579" s="3">
        <v>100</v>
      </c>
      <c r="K579" s="3">
        <v>5</v>
      </c>
      <c r="L579" s="3">
        <v>95</v>
      </c>
      <c r="M579" s="3">
        <v>65</v>
      </c>
      <c r="N579" s="3" t="s">
        <v>13</v>
      </c>
      <c r="O579" s="3" t="str">
        <f t="shared" ref="O579:O586" si="9">IF(K579&gt;0,"YES","NO")</f>
        <v>YES</v>
      </c>
      <c r="P579" s="3" t="s">
        <v>471</v>
      </c>
      <c r="Q579" s="3" t="s">
        <v>61</v>
      </c>
    </row>
    <row r="580" spans="1:17" x14ac:dyDescent="0.25">
      <c r="A580" s="2">
        <v>45798</v>
      </c>
      <c r="B580" s="2" t="s">
        <v>492</v>
      </c>
      <c r="C580" s="2" t="s">
        <v>487</v>
      </c>
      <c r="D580" s="3" t="s">
        <v>27</v>
      </c>
      <c r="E580" s="3" t="s">
        <v>16</v>
      </c>
      <c r="F580" s="3" t="s">
        <v>24</v>
      </c>
      <c r="G580" s="3" t="s">
        <v>71</v>
      </c>
      <c r="H580" s="3">
        <v>2</v>
      </c>
      <c r="I580" s="4">
        <v>67.5</v>
      </c>
      <c r="J580" s="3">
        <v>150</v>
      </c>
      <c r="K580" s="3">
        <v>15</v>
      </c>
      <c r="L580" s="3">
        <v>255</v>
      </c>
      <c r="M580" s="3">
        <v>120</v>
      </c>
      <c r="N580" s="3" t="s">
        <v>19</v>
      </c>
      <c r="O580" s="3" t="str">
        <f t="shared" si="9"/>
        <v>YES</v>
      </c>
      <c r="P580" s="3" t="s">
        <v>472</v>
      </c>
      <c r="Q580" s="3" t="s">
        <v>15</v>
      </c>
    </row>
    <row r="581" spans="1:17" x14ac:dyDescent="0.25">
      <c r="A581" s="2">
        <v>45947</v>
      </c>
      <c r="B581" s="2" t="s">
        <v>499</v>
      </c>
      <c r="C581" s="2" t="s">
        <v>484</v>
      </c>
      <c r="D581" s="3" t="s">
        <v>9</v>
      </c>
      <c r="E581" s="3" t="s">
        <v>10</v>
      </c>
      <c r="F581" s="3" t="s">
        <v>11</v>
      </c>
      <c r="G581" s="3" t="s">
        <v>59</v>
      </c>
      <c r="H581" s="3">
        <v>1</v>
      </c>
      <c r="I581" s="4">
        <v>75</v>
      </c>
      <c r="J581" s="3">
        <v>250</v>
      </c>
      <c r="K581" s="3">
        <v>5</v>
      </c>
      <c r="L581" s="3">
        <v>237.5</v>
      </c>
      <c r="M581" s="3">
        <v>162.5</v>
      </c>
      <c r="N581" s="3" t="s">
        <v>35</v>
      </c>
      <c r="O581" s="3" t="str">
        <f t="shared" si="9"/>
        <v>YES</v>
      </c>
      <c r="P581" s="3" t="s">
        <v>473</v>
      </c>
      <c r="Q581" s="3" t="s">
        <v>45</v>
      </c>
    </row>
    <row r="582" spans="1:17" x14ac:dyDescent="0.25">
      <c r="A582" s="2">
        <v>45676</v>
      </c>
      <c r="B582" s="2" t="s">
        <v>489</v>
      </c>
      <c r="C582" s="2" t="s">
        <v>488</v>
      </c>
      <c r="D582" s="3" t="s">
        <v>32</v>
      </c>
      <c r="E582" s="3" t="s">
        <v>23</v>
      </c>
      <c r="F582" s="3" t="s">
        <v>17</v>
      </c>
      <c r="G582" s="3" t="s">
        <v>56</v>
      </c>
      <c r="H582" s="3">
        <v>2</v>
      </c>
      <c r="I582" s="4">
        <v>50</v>
      </c>
      <c r="J582" s="3">
        <v>250</v>
      </c>
      <c r="K582" s="3">
        <v>5</v>
      </c>
      <c r="L582" s="3">
        <v>475</v>
      </c>
      <c r="M582" s="3">
        <v>375</v>
      </c>
      <c r="N582" s="3" t="s">
        <v>35</v>
      </c>
      <c r="O582" s="3" t="str">
        <f t="shared" si="9"/>
        <v>YES</v>
      </c>
      <c r="P582" s="3" t="s">
        <v>474</v>
      </c>
      <c r="Q582" s="3" t="s">
        <v>15</v>
      </c>
    </row>
    <row r="583" spans="1:17" x14ac:dyDescent="0.25">
      <c r="A583" s="2">
        <v>45845</v>
      </c>
      <c r="B583" s="2" t="s">
        <v>501</v>
      </c>
      <c r="C583" s="2" t="s">
        <v>491</v>
      </c>
      <c r="D583" s="3" t="s">
        <v>9</v>
      </c>
      <c r="E583" s="3" t="s">
        <v>23</v>
      </c>
      <c r="F583" s="3" t="s">
        <v>11</v>
      </c>
      <c r="G583" s="3" t="s">
        <v>131</v>
      </c>
      <c r="H583" s="3">
        <v>2</v>
      </c>
      <c r="I583" s="4">
        <v>45</v>
      </c>
      <c r="J583" s="3">
        <v>150</v>
      </c>
      <c r="K583" s="3">
        <v>5</v>
      </c>
      <c r="L583" s="3">
        <v>285</v>
      </c>
      <c r="M583" s="3">
        <v>195</v>
      </c>
      <c r="N583" s="3" t="s">
        <v>35</v>
      </c>
      <c r="O583" s="3" t="str">
        <f t="shared" si="9"/>
        <v>YES</v>
      </c>
      <c r="P583" s="3" t="s">
        <v>475</v>
      </c>
      <c r="Q583" s="3" t="s">
        <v>37</v>
      </c>
    </row>
    <row r="584" spans="1:17" x14ac:dyDescent="0.25">
      <c r="A584" s="2">
        <v>45793</v>
      </c>
      <c r="B584" s="2" t="s">
        <v>492</v>
      </c>
      <c r="C584" s="2" t="s">
        <v>484</v>
      </c>
      <c r="D584" s="3" t="s">
        <v>38</v>
      </c>
      <c r="E584" s="3" t="s">
        <v>28</v>
      </c>
      <c r="F584" s="3" t="s">
        <v>33</v>
      </c>
      <c r="G584" s="3" t="s">
        <v>50</v>
      </c>
      <c r="H584" s="3">
        <v>2</v>
      </c>
      <c r="I584" s="4">
        <v>112.5</v>
      </c>
      <c r="J584" s="3">
        <v>250</v>
      </c>
      <c r="K584" s="3">
        <v>0</v>
      </c>
      <c r="L584" s="3">
        <v>500</v>
      </c>
      <c r="M584" s="3">
        <v>275</v>
      </c>
      <c r="N584" s="3" t="s">
        <v>19</v>
      </c>
      <c r="O584" s="3" t="str">
        <f t="shared" si="9"/>
        <v>NO</v>
      </c>
      <c r="P584" s="3" t="s">
        <v>476</v>
      </c>
      <c r="Q584" s="3" t="s">
        <v>21</v>
      </c>
    </row>
    <row r="585" spans="1:17" x14ac:dyDescent="0.25">
      <c r="A585" s="2">
        <v>45943</v>
      </c>
      <c r="B585" s="2" t="s">
        <v>499</v>
      </c>
      <c r="C585" s="2" t="s">
        <v>491</v>
      </c>
      <c r="D585" s="3" t="s">
        <v>27</v>
      </c>
      <c r="E585" s="3" t="s">
        <v>58</v>
      </c>
      <c r="F585" s="3" t="s">
        <v>17</v>
      </c>
      <c r="G585" s="3" t="s">
        <v>56</v>
      </c>
      <c r="H585" s="3">
        <v>10</v>
      </c>
      <c r="I585" s="4">
        <v>50</v>
      </c>
      <c r="J585" s="3">
        <v>250</v>
      </c>
      <c r="K585" s="3">
        <v>5</v>
      </c>
      <c r="L585" s="3">
        <v>2375</v>
      </c>
      <c r="M585" s="3">
        <v>1875</v>
      </c>
      <c r="N585" s="3" t="s">
        <v>13</v>
      </c>
      <c r="O585" s="3" t="str">
        <f t="shared" si="9"/>
        <v>YES</v>
      </c>
      <c r="P585" s="3" t="s">
        <v>477</v>
      </c>
      <c r="Q585" s="3" t="s">
        <v>45</v>
      </c>
    </row>
    <row r="586" spans="1:17" x14ac:dyDescent="0.25">
      <c r="A586" s="2">
        <v>45909</v>
      </c>
      <c r="B586" s="2" t="s">
        <v>483</v>
      </c>
      <c r="C586" s="2" t="s">
        <v>493</v>
      </c>
      <c r="D586" s="3" t="s">
        <v>27</v>
      </c>
      <c r="E586" s="3" t="s">
        <v>16</v>
      </c>
      <c r="F586" s="3" t="s">
        <v>24</v>
      </c>
      <c r="G586" s="3" t="s">
        <v>25</v>
      </c>
      <c r="H586" s="3">
        <v>10</v>
      </c>
      <c r="I586" s="4">
        <v>45</v>
      </c>
      <c r="J586" s="3">
        <v>100</v>
      </c>
      <c r="K586" s="3">
        <v>0</v>
      </c>
      <c r="L586" s="3">
        <v>1000</v>
      </c>
      <c r="M586" s="3">
        <v>550</v>
      </c>
      <c r="N586" s="3" t="s">
        <v>35</v>
      </c>
      <c r="O586" s="3" t="str">
        <f t="shared" si="9"/>
        <v>NO</v>
      </c>
      <c r="P586" s="3" t="s">
        <v>478</v>
      </c>
      <c r="Q586" s="3" t="s">
        <v>45</v>
      </c>
    </row>
  </sheetData>
  <autoFilter ref="A1:Q586" xr:uid="{5D9DDF1A-8A93-40E4-9590-62FE25B9929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ABB5-B979-49F8-9594-E79690D8A6DB}">
  <dimension ref="A1"/>
  <sheetViews>
    <sheetView showRowColHeaders="0" zoomScale="80" zoomScaleNormal="80" workbookViewId="0">
      <selection activeCell="E41" sqref="E41"/>
    </sheetView>
  </sheetViews>
  <sheetFormatPr defaultRowHeight="15" x14ac:dyDescent="0.25"/>
  <cols>
    <col min="1" max="16384" width="9.140625" style="5"/>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177D-5A44-4E9D-B92A-F22A6FA8C7FF}">
  <dimension ref="A1"/>
  <sheetViews>
    <sheetView showRowColHeaders="0" tabSelected="1" workbookViewId="0"/>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EC55-6DCD-4E6E-921A-C9E5CD090FD4}">
  <dimension ref="A1"/>
  <sheetViews>
    <sheetView showRowColHeaders="0" workbookViewId="0"/>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6D51-D035-485F-91F5-CAA1989E846F}">
  <dimension ref="A1"/>
  <sheetViews>
    <sheetView showRowColHeaders="0" workbookViewId="0"/>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41738-E811-4162-94DD-1F5FE96DDE04}">
  <dimension ref="A1"/>
  <sheetViews>
    <sheetView showRowColHeaders="0" workbookViewId="0"/>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04A7-D624-4F6A-BA85-5F0988974D49}">
  <dimension ref="A1"/>
  <sheetViews>
    <sheetView showRowColHeaders="0" workbookViewId="0"/>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EFD0A-F4CC-46E0-82DF-3894F8AEE796}">
  <dimension ref="A1"/>
  <sheetViews>
    <sheetView showRowColHeaders="0" workbookViewId="0"/>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6926-F767-4054-99F2-20468F2A3851}">
  <dimension ref="A1"/>
  <sheetViews>
    <sheetView showRowColHeaders="0" workbookViewId="0"/>
  </sheetViews>
  <sheetFormatPr defaultRowHeight="15" x14ac:dyDescent="0.25"/>
  <cols>
    <col min="1" max="16384" width="9.140625" style="5"/>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BE29A-09EB-4396-AABF-5E0FC80D4B9A}">
  <dimension ref="A3:BP44"/>
  <sheetViews>
    <sheetView topLeftCell="BE1" zoomScale="80" zoomScaleNormal="80" workbookViewId="0">
      <selection activeCell="BP16" sqref="BP16"/>
    </sheetView>
  </sheetViews>
  <sheetFormatPr defaultRowHeight="15" x14ac:dyDescent="0.25"/>
  <cols>
    <col min="1" max="1" width="22.140625" bestFit="1" customWidth="1"/>
    <col min="3" max="3" width="14.140625" bestFit="1" customWidth="1"/>
    <col min="4" max="4" width="22.140625" bestFit="1" customWidth="1"/>
    <col min="6" max="6" width="16.28515625" bestFit="1" customWidth="1"/>
    <col min="7" max="8" width="16.7109375" bestFit="1" customWidth="1"/>
    <col min="9" max="9" width="14.140625" bestFit="1" customWidth="1"/>
    <col min="10" max="10" width="22.140625" bestFit="1" customWidth="1"/>
    <col min="11" max="11" width="12.42578125" customWidth="1"/>
    <col min="12" max="12" width="14.140625" bestFit="1" customWidth="1"/>
    <col min="13" max="13" width="22.140625" bestFit="1" customWidth="1"/>
    <col min="14" max="14" width="24.140625" customWidth="1"/>
    <col min="15" max="15" width="14.140625" bestFit="1" customWidth="1"/>
    <col min="16" max="16" width="22.140625" bestFit="1" customWidth="1"/>
    <col min="18" max="18" width="14.140625" bestFit="1" customWidth="1"/>
    <col min="19" max="19" width="22.140625" bestFit="1" customWidth="1"/>
    <col min="20" max="20" width="16.7109375" bestFit="1" customWidth="1"/>
    <col min="21" max="21" width="16.28515625" bestFit="1" customWidth="1"/>
    <col min="22" max="22" width="14.140625" bestFit="1" customWidth="1"/>
    <col min="23" max="23" width="22.140625" bestFit="1" customWidth="1"/>
    <col min="24" max="24" width="16.7109375" bestFit="1" customWidth="1"/>
    <col min="25" max="25" width="22.140625" bestFit="1" customWidth="1"/>
    <col min="26" max="26" width="16.28515625" bestFit="1" customWidth="1"/>
    <col min="27" max="27" width="22.140625" bestFit="1" customWidth="1"/>
    <col min="28" max="28" width="16.7109375" bestFit="1" customWidth="1"/>
    <col min="29" max="29" width="16.28515625" bestFit="1" customWidth="1"/>
    <col min="30" max="30" width="12.85546875" bestFit="1" customWidth="1"/>
    <col min="31" max="31" width="10.28515625" bestFit="1" customWidth="1"/>
    <col min="32" max="32" width="14.140625" bestFit="1" customWidth="1"/>
    <col min="33" max="33" width="12.85546875" bestFit="1" customWidth="1"/>
    <col min="34" max="34" width="8.7109375" bestFit="1" customWidth="1"/>
    <col min="35" max="35" width="14.140625" bestFit="1" customWidth="1"/>
    <col min="36" max="36" width="12.85546875" bestFit="1" customWidth="1"/>
    <col min="37" max="37" width="7.7109375" bestFit="1" customWidth="1"/>
    <col min="38" max="38" width="14.140625" bestFit="1" customWidth="1"/>
    <col min="39" max="39" width="12.85546875" bestFit="1" customWidth="1"/>
    <col min="40" max="40" width="9.5703125" bestFit="1" customWidth="1"/>
    <col min="41" max="41" width="14.140625" bestFit="1" customWidth="1"/>
    <col min="42" max="42" width="16.42578125" bestFit="1" customWidth="1"/>
    <col min="43" max="43" width="10.7109375" bestFit="1" customWidth="1"/>
    <col min="44" max="44" width="14.140625" bestFit="1" customWidth="1"/>
    <col min="45" max="46" width="20.85546875" bestFit="1" customWidth="1"/>
    <col min="47" max="47" width="14.140625" bestFit="1" customWidth="1"/>
    <col min="48" max="48" width="23" bestFit="1" customWidth="1"/>
    <col min="49" max="49" width="7.7109375" bestFit="1" customWidth="1"/>
    <col min="50" max="50" width="23" bestFit="1" customWidth="1"/>
    <col min="51" max="51" width="16.7109375" bestFit="1" customWidth="1"/>
    <col min="52" max="52" width="5.28515625" bestFit="1" customWidth="1"/>
    <col min="53" max="53" width="4.28515625" bestFit="1" customWidth="1"/>
    <col min="54" max="54" width="7.7109375" bestFit="1" customWidth="1"/>
    <col min="55" max="55" width="14.140625" bestFit="1" customWidth="1"/>
    <col min="56" max="56" width="16.7109375" bestFit="1" customWidth="1"/>
    <col min="57" max="57" width="22.140625" bestFit="1" customWidth="1"/>
    <col min="58" max="58" width="12.85546875" bestFit="1" customWidth="1"/>
    <col min="59" max="59" width="20.28515625" bestFit="1" customWidth="1"/>
    <col min="60" max="60" width="14.140625" bestFit="1" customWidth="1"/>
    <col min="61" max="61" width="16.7109375" bestFit="1" customWidth="1"/>
    <col min="62" max="62" width="22.140625" bestFit="1" customWidth="1"/>
    <col min="63" max="63" width="9.5703125" bestFit="1" customWidth="1"/>
    <col min="64" max="64" width="21.28515625" bestFit="1" customWidth="1"/>
    <col min="65" max="65" width="22.140625" bestFit="1" customWidth="1"/>
    <col min="66" max="66" width="8.7109375" bestFit="1" customWidth="1"/>
    <col min="67" max="67" width="14.140625" bestFit="1" customWidth="1"/>
    <col min="68" max="68" width="22.140625" bestFit="1" customWidth="1"/>
    <col min="69" max="69" width="8.5703125" bestFit="1" customWidth="1"/>
    <col min="70" max="70" width="11.140625" bestFit="1" customWidth="1"/>
    <col min="71" max="71" width="11.5703125" bestFit="1" customWidth="1"/>
    <col min="72" max="72" width="10.140625" bestFit="1" customWidth="1"/>
    <col min="73" max="73" width="7.7109375" bestFit="1" customWidth="1"/>
    <col min="74" max="74" width="9.28515625" bestFit="1" customWidth="1"/>
    <col min="75" max="75" width="8.5703125" bestFit="1" customWidth="1"/>
    <col min="76" max="76" width="7.7109375" bestFit="1" customWidth="1"/>
    <col min="77" max="77" width="8.85546875" bestFit="1" customWidth="1"/>
    <col min="78" max="78" width="7.7109375" bestFit="1" customWidth="1"/>
    <col min="79" max="79" width="10.28515625" bestFit="1" customWidth="1"/>
    <col min="80" max="80" width="10.85546875" bestFit="1" customWidth="1"/>
    <col min="81" max="81" width="11.140625" bestFit="1" customWidth="1"/>
    <col min="82" max="82" width="8.5703125" bestFit="1" customWidth="1"/>
    <col min="83" max="83" width="7.7109375" bestFit="1" customWidth="1"/>
    <col min="84" max="84" width="12" bestFit="1" customWidth="1"/>
    <col min="85" max="86" width="7.140625" bestFit="1" customWidth="1"/>
    <col min="87" max="88" width="9.5703125" bestFit="1" customWidth="1"/>
    <col min="89" max="89" width="8.85546875" bestFit="1" customWidth="1"/>
    <col min="90" max="90" width="8.7109375" bestFit="1" customWidth="1"/>
    <col min="91" max="91" width="10.7109375" bestFit="1" customWidth="1"/>
    <col min="92" max="92" width="9.85546875" bestFit="1" customWidth="1"/>
    <col min="93" max="93" width="8.5703125" bestFit="1" customWidth="1"/>
    <col min="94" max="94" width="11.140625" bestFit="1" customWidth="1"/>
    <col min="95" max="95" width="11.5703125" bestFit="1" customWidth="1"/>
    <col min="96" max="96" width="10.140625" bestFit="1" customWidth="1"/>
    <col min="97" max="97" width="7.7109375" bestFit="1" customWidth="1"/>
    <col min="98" max="98" width="9.28515625" bestFit="1" customWidth="1"/>
    <col min="99" max="99" width="8.5703125" bestFit="1" customWidth="1"/>
    <col min="100" max="100" width="7.7109375" bestFit="1" customWidth="1"/>
    <col min="101" max="101" width="8.85546875" bestFit="1" customWidth="1"/>
    <col min="102" max="102" width="7.7109375" bestFit="1" customWidth="1"/>
    <col min="103" max="103" width="10.28515625" bestFit="1" customWidth="1"/>
    <col min="104" max="104" width="10.85546875" bestFit="1" customWidth="1"/>
    <col min="105" max="105" width="11.140625" bestFit="1" customWidth="1"/>
    <col min="106" max="106" width="7.7109375" bestFit="1" customWidth="1"/>
    <col min="107" max="107" width="12" bestFit="1" customWidth="1"/>
    <col min="108" max="108" width="7.7109375" bestFit="1" customWidth="1"/>
    <col min="109" max="109" width="7.140625" bestFit="1" customWidth="1"/>
    <col min="110" max="111" width="9.5703125" bestFit="1" customWidth="1"/>
    <col min="112" max="112" width="8.85546875" bestFit="1" customWidth="1"/>
    <col min="113" max="113" width="8.7109375" bestFit="1" customWidth="1"/>
    <col min="114" max="114" width="10.7109375" bestFit="1" customWidth="1"/>
    <col min="115" max="115" width="9.85546875" bestFit="1" customWidth="1"/>
    <col min="116" max="116" width="8.5703125" bestFit="1" customWidth="1"/>
    <col min="117" max="117" width="11.140625" bestFit="1" customWidth="1"/>
    <col min="118" max="118" width="11.5703125" bestFit="1" customWidth="1"/>
    <col min="119" max="119" width="10.140625" bestFit="1" customWidth="1"/>
    <col min="120" max="120" width="7.7109375" bestFit="1" customWidth="1"/>
    <col min="121" max="121" width="9.28515625" bestFit="1" customWidth="1"/>
    <col min="122" max="122" width="8.5703125" bestFit="1" customWidth="1"/>
    <col min="123" max="124" width="7.7109375" bestFit="1" customWidth="1"/>
    <col min="125" max="125" width="10.28515625" bestFit="1" customWidth="1"/>
    <col min="126" max="126" width="10.85546875" bestFit="1" customWidth="1"/>
    <col min="127" max="127" width="11.140625" bestFit="1" customWidth="1"/>
    <col min="128" max="128" width="8.5703125" bestFit="1" customWidth="1"/>
    <col min="129" max="129" width="7.7109375" bestFit="1" customWidth="1"/>
    <col min="130" max="130" width="12" bestFit="1" customWidth="1"/>
    <col min="131" max="131" width="7.140625" bestFit="1" customWidth="1"/>
    <col min="132" max="133" width="9.5703125" bestFit="1" customWidth="1"/>
    <col min="134" max="134" width="8.85546875" bestFit="1" customWidth="1"/>
    <col min="135" max="135" width="10.28515625" bestFit="1" customWidth="1"/>
  </cols>
  <sheetData>
    <row r="3" spans="1:68" x14ac:dyDescent="0.25">
      <c r="A3" t="s">
        <v>510</v>
      </c>
      <c r="C3" s="12" t="s">
        <v>512</v>
      </c>
      <c r="D3" t="s">
        <v>510</v>
      </c>
      <c r="F3" s="12" t="s">
        <v>512</v>
      </c>
      <c r="G3" t="s">
        <v>511</v>
      </c>
      <c r="I3" s="12" t="s">
        <v>512</v>
      </c>
      <c r="J3" t="s">
        <v>510</v>
      </c>
      <c r="L3" s="12" t="s">
        <v>512</v>
      </c>
      <c r="M3" t="s">
        <v>510</v>
      </c>
      <c r="R3" s="12" t="s">
        <v>512</v>
      </c>
      <c r="S3" t="s">
        <v>510</v>
      </c>
      <c r="T3" t="s">
        <v>511</v>
      </c>
      <c r="V3" s="12" t="s">
        <v>512</v>
      </c>
      <c r="W3" t="s">
        <v>510</v>
      </c>
      <c r="X3" t="s">
        <v>511</v>
      </c>
      <c r="Z3" s="12" t="s">
        <v>512</v>
      </c>
      <c r="AA3" t="s">
        <v>510</v>
      </c>
      <c r="AC3" s="12" t="s">
        <v>512</v>
      </c>
      <c r="AD3" t="s">
        <v>516</v>
      </c>
      <c r="AF3" s="12" t="s">
        <v>512</v>
      </c>
      <c r="AG3" t="s">
        <v>516</v>
      </c>
      <c r="AI3" s="12" t="s">
        <v>512</v>
      </c>
      <c r="AJ3" t="s">
        <v>516</v>
      </c>
      <c r="AL3" s="12" t="s">
        <v>512</v>
      </c>
      <c r="AM3" t="s">
        <v>516</v>
      </c>
      <c r="AO3" s="12" t="s">
        <v>512</v>
      </c>
      <c r="AP3" t="s">
        <v>517</v>
      </c>
      <c r="AR3" s="12" t="s">
        <v>512</v>
      </c>
      <c r="AS3" t="s">
        <v>518</v>
      </c>
      <c r="AU3" s="12" t="s">
        <v>512</v>
      </c>
      <c r="AV3" t="s">
        <v>519</v>
      </c>
      <c r="AX3" s="12" t="s">
        <v>519</v>
      </c>
      <c r="AY3" s="12" t="s">
        <v>520</v>
      </c>
      <c r="BC3" s="12" t="s">
        <v>512</v>
      </c>
      <c r="BD3" t="s">
        <v>511</v>
      </c>
      <c r="BE3" t="s">
        <v>510</v>
      </c>
      <c r="BF3" t="s">
        <v>516</v>
      </c>
      <c r="BH3" s="12" t="s">
        <v>512</v>
      </c>
      <c r="BI3" t="s">
        <v>511</v>
      </c>
      <c r="BJ3" t="s">
        <v>510</v>
      </c>
      <c r="BL3" s="12" t="s">
        <v>512</v>
      </c>
      <c r="BM3" t="s">
        <v>510</v>
      </c>
      <c r="BO3" s="12" t="s">
        <v>512</v>
      </c>
      <c r="BP3" t="s">
        <v>510</v>
      </c>
    </row>
    <row r="4" spans="1:68" x14ac:dyDescent="0.25">
      <c r="A4" s="11">
        <v>302930</v>
      </c>
      <c r="C4" s="13" t="s">
        <v>489</v>
      </c>
      <c r="D4" s="14">
        <v>30330</v>
      </c>
      <c r="F4" s="13" t="s">
        <v>11</v>
      </c>
      <c r="G4" s="11">
        <v>363</v>
      </c>
      <c r="I4" s="13" t="s">
        <v>70</v>
      </c>
      <c r="J4" s="14">
        <v>31750</v>
      </c>
      <c r="L4" s="13" t="s">
        <v>27</v>
      </c>
      <c r="M4" s="14">
        <v>58780</v>
      </c>
      <c r="R4" s="13" t="s">
        <v>83</v>
      </c>
      <c r="S4" s="14">
        <v>21747.5</v>
      </c>
      <c r="T4" s="11">
        <v>158</v>
      </c>
      <c r="V4" s="13" t="s">
        <v>56</v>
      </c>
      <c r="W4" s="14">
        <v>9502.5</v>
      </c>
      <c r="X4" s="11">
        <v>72</v>
      </c>
      <c r="Z4" s="13" t="s">
        <v>11</v>
      </c>
      <c r="AA4" s="14">
        <v>53187.5</v>
      </c>
      <c r="AC4" s="13" t="s">
        <v>11</v>
      </c>
      <c r="AD4" s="14">
        <v>35487.5</v>
      </c>
      <c r="AF4" s="13" t="s">
        <v>18</v>
      </c>
      <c r="AG4" s="14">
        <v>10572.5</v>
      </c>
      <c r="AI4" s="13" t="s">
        <v>88</v>
      </c>
      <c r="AJ4" s="14">
        <v>6637.5</v>
      </c>
      <c r="AL4" s="13" t="s">
        <v>59</v>
      </c>
      <c r="AM4" s="11">
        <v>8182.5</v>
      </c>
      <c r="AO4" s="13" t="s">
        <v>59</v>
      </c>
      <c r="AP4" s="14">
        <v>371.93181818181819</v>
      </c>
      <c r="AR4" s="13" t="s">
        <v>70</v>
      </c>
      <c r="AS4" s="16">
        <v>0.59417322834645669</v>
      </c>
      <c r="AU4" s="13" t="s">
        <v>19</v>
      </c>
      <c r="AV4" s="11">
        <v>178</v>
      </c>
      <c r="AX4" s="12" t="s">
        <v>512</v>
      </c>
      <c r="AY4" t="s">
        <v>19</v>
      </c>
      <c r="AZ4" t="s">
        <v>13</v>
      </c>
      <c r="BA4" t="s">
        <v>35</v>
      </c>
      <c r="BC4" s="13" t="s">
        <v>522</v>
      </c>
      <c r="BD4" s="11">
        <v>642</v>
      </c>
      <c r="BE4" s="14">
        <v>94450</v>
      </c>
      <c r="BF4" s="14">
        <v>60380</v>
      </c>
      <c r="BH4" s="13" t="s">
        <v>167</v>
      </c>
      <c r="BI4" s="11">
        <v>27</v>
      </c>
      <c r="BJ4" s="11">
        <v>4287.5</v>
      </c>
      <c r="BL4" s="13" t="s">
        <v>15</v>
      </c>
      <c r="BM4" s="11">
        <v>88085</v>
      </c>
      <c r="BO4" s="13" t="s">
        <v>493</v>
      </c>
      <c r="BP4" s="11">
        <v>49542.5</v>
      </c>
    </row>
    <row r="5" spans="1:68" x14ac:dyDescent="0.25">
      <c r="C5" s="13" t="s">
        <v>500</v>
      </c>
      <c r="D5" s="14">
        <v>24367.5</v>
      </c>
      <c r="F5" s="13" t="s">
        <v>24</v>
      </c>
      <c r="G5" s="11">
        <v>449</v>
      </c>
      <c r="I5" s="13" t="s">
        <v>16</v>
      </c>
      <c r="J5" s="14">
        <v>50897.5</v>
      </c>
      <c r="L5" s="13" t="s">
        <v>22</v>
      </c>
      <c r="M5" s="14">
        <v>52760</v>
      </c>
      <c r="R5" s="13" t="s">
        <v>42</v>
      </c>
      <c r="S5" s="14">
        <v>16810</v>
      </c>
      <c r="T5" s="11">
        <v>137</v>
      </c>
      <c r="V5" s="13" t="s">
        <v>34</v>
      </c>
      <c r="W5" s="14">
        <v>8532.5</v>
      </c>
      <c r="X5" s="11">
        <v>72</v>
      </c>
      <c r="Z5" s="13" t="s">
        <v>24</v>
      </c>
      <c r="AA5" s="14">
        <v>61090</v>
      </c>
      <c r="AC5" s="13" t="s">
        <v>24</v>
      </c>
      <c r="AD5" s="14">
        <v>31570</v>
      </c>
      <c r="AF5" s="13" t="s">
        <v>115</v>
      </c>
      <c r="AG5" s="14">
        <v>10482.5</v>
      </c>
      <c r="AI5" s="13" t="s">
        <v>105</v>
      </c>
      <c r="AJ5" s="14">
        <v>3597.5</v>
      </c>
      <c r="AL5" s="13" t="s">
        <v>18</v>
      </c>
      <c r="AM5" s="11">
        <v>10572.5</v>
      </c>
      <c r="AO5" s="13" t="s">
        <v>18</v>
      </c>
      <c r="AP5" s="14">
        <v>377.58928571428572</v>
      </c>
      <c r="AR5" s="13" t="s">
        <v>16</v>
      </c>
      <c r="AS5" s="16">
        <v>0.61068814774792479</v>
      </c>
      <c r="AU5" s="13" t="s">
        <v>13</v>
      </c>
      <c r="AV5" s="11">
        <v>211</v>
      </c>
      <c r="AX5" s="13" t="s">
        <v>27</v>
      </c>
      <c r="AY5" s="11">
        <v>33</v>
      </c>
      <c r="AZ5" s="11">
        <v>39</v>
      </c>
      <c r="BA5" s="11">
        <v>43</v>
      </c>
      <c r="BC5" s="13" t="s">
        <v>523</v>
      </c>
      <c r="BD5" s="11">
        <v>1544</v>
      </c>
      <c r="BE5" s="14">
        <v>208480</v>
      </c>
      <c r="BF5" s="14">
        <v>122860</v>
      </c>
      <c r="BH5" s="13" t="s">
        <v>360</v>
      </c>
      <c r="BI5" s="11">
        <v>20</v>
      </c>
      <c r="BJ5" s="11">
        <v>3675</v>
      </c>
      <c r="BL5" s="13" t="s">
        <v>45</v>
      </c>
      <c r="BM5" s="11">
        <v>55980</v>
      </c>
      <c r="BO5" s="13" t="s">
        <v>487</v>
      </c>
      <c r="BP5" s="11">
        <v>48375</v>
      </c>
    </row>
    <row r="6" spans="1:68" x14ac:dyDescent="0.25">
      <c r="C6" s="13" t="s">
        <v>494</v>
      </c>
      <c r="D6" s="14">
        <v>25322.5</v>
      </c>
      <c r="F6" s="13" t="s">
        <v>29</v>
      </c>
      <c r="G6" s="11">
        <v>475</v>
      </c>
      <c r="I6" s="13" t="s">
        <v>58</v>
      </c>
      <c r="J6" s="14">
        <v>48715</v>
      </c>
      <c r="L6" s="13" t="s">
        <v>32</v>
      </c>
      <c r="M6" s="14">
        <v>67000</v>
      </c>
      <c r="R6" s="13" t="s">
        <v>50</v>
      </c>
      <c r="S6" s="14">
        <v>17430</v>
      </c>
      <c r="T6" s="11">
        <v>126</v>
      </c>
      <c r="V6" s="13" t="s">
        <v>131</v>
      </c>
      <c r="W6" s="14">
        <v>5170</v>
      </c>
      <c r="X6" s="11">
        <v>43</v>
      </c>
      <c r="Z6" s="13" t="s">
        <v>29</v>
      </c>
      <c r="AA6" s="14">
        <v>68732.5</v>
      </c>
      <c r="AC6" s="13" t="s">
        <v>29</v>
      </c>
      <c r="AD6" s="14">
        <v>41352.5</v>
      </c>
      <c r="AF6" s="13" t="s">
        <v>83</v>
      </c>
      <c r="AG6" s="14">
        <v>11807.5</v>
      </c>
      <c r="AI6" s="13" t="s">
        <v>131</v>
      </c>
      <c r="AJ6" s="14">
        <v>3415</v>
      </c>
      <c r="AL6" s="13" t="s">
        <v>88</v>
      </c>
      <c r="AM6" s="11">
        <v>6637.5</v>
      </c>
      <c r="AO6" s="13" t="s">
        <v>88</v>
      </c>
      <c r="AP6" s="14">
        <v>255.28846153846155</v>
      </c>
      <c r="AR6" s="13" t="s">
        <v>58</v>
      </c>
      <c r="AS6" s="16">
        <v>0.55752848198706761</v>
      </c>
      <c r="AU6" s="13" t="s">
        <v>35</v>
      </c>
      <c r="AV6" s="11">
        <v>196</v>
      </c>
      <c r="AX6" s="13" t="s">
        <v>22</v>
      </c>
      <c r="AY6" s="11">
        <v>26</v>
      </c>
      <c r="AZ6" s="11">
        <v>43</v>
      </c>
      <c r="BA6" s="11">
        <v>34</v>
      </c>
      <c r="BH6" s="13" t="s">
        <v>252</v>
      </c>
      <c r="BI6" s="11">
        <v>15</v>
      </c>
      <c r="BJ6" s="11">
        <v>3625</v>
      </c>
      <c r="BL6" s="13" t="s">
        <v>41</v>
      </c>
      <c r="BM6" s="11">
        <v>51330</v>
      </c>
      <c r="BO6" s="13" t="s">
        <v>490</v>
      </c>
      <c r="BP6" s="11">
        <v>44105</v>
      </c>
    </row>
    <row r="7" spans="1:68" x14ac:dyDescent="0.25">
      <c r="C7" s="13" t="s">
        <v>486</v>
      </c>
      <c r="D7" s="14">
        <v>22150</v>
      </c>
      <c r="F7" s="13" t="s">
        <v>33</v>
      </c>
      <c r="G7" s="11">
        <v>438</v>
      </c>
      <c r="I7" s="13" t="s">
        <v>10</v>
      </c>
      <c r="J7" s="14">
        <v>44430</v>
      </c>
      <c r="L7" s="13" t="s">
        <v>38</v>
      </c>
      <c r="M7" s="14">
        <v>56967.5</v>
      </c>
      <c r="R7" s="13" t="s">
        <v>47</v>
      </c>
      <c r="S7" s="14">
        <v>17970</v>
      </c>
      <c r="T7" s="11">
        <v>123</v>
      </c>
      <c r="V7" s="13" t="s">
        <v>105</v>
      </c>
      <c r="W7" s="14">
        <v>5427.5</v>
      </c>
      <c r="X7" s="11">
        <v>39</v>
      </c>
      <c r="Z7" s="13" t="s">
        <v>33</v>
      </c>
      <c r="AA7" s="14">
        <v>56897.5</v>
      </c>
      <c r="AC7" s="13" t="s">
        <v>33</v>
      </c>
      <c r="AD7" s="14">
        <v>25847.5</v>
      </c>
      <c r="AF7" s="13" t="s">
        <v>68</v>
      </c>
      <c r="AG7" s="14">
        <v>12942.5</v>
      </c>
      <c r="AI7" s="13" t="s">
        <v>79</v>
      </c>
      <c r="AJ7" s="14">
        <v>1400</v>
      </c>
      <c r="AL7" s="13" t="s">
        <v>115</v>
      </c>
      <c r="AM7" s="11">
        <v>10482.5</v>
      </c>
      <c r="AO7" s="13" t="s">
        <v>115</v>
      </c>
      <c r="AP7" s="14">
        <v>455.76086956521738</v>
      </c>
      <c r="AR7" s="13" t="s">
        <v>10</v>
      </c>
      <c r="AS7" s="16">
        <v>0.62243979293270313</v>
      </c>
      <c r="AX7" s="13" t="s">
        <v>32</v>
      </c>
      <c r="AY7" s="11">
        <v>42</v>
      </c>
      <c r="AZ7" s="11">
        <v>36</v>
      </c>
      <c r="BA7" s="11">
        <v>50</v>
      </c>
      <c r="BH7" s="13" t="s">
        <v>247</v>
      </c>
      <c r="BI7" s="11">
        <v>19</v>
      </c>
      <c r="BJ7" s="11">
        <v>3555</v>
      </c>
      <c r="BL7" s="13" t="s">
        <v>61</v>
      </c>
      <c r="BM7" s="11">
        <v>39455</v>
      </c>
      <c r="BO7" s="13" t="s">
        <v>488</v>
      </c>
      <c r="BP7" s="11">
        <v>43640</v>
      </c>
    </row>
    <row r="8" spans="1:68" x14ac:dyDescent="0.25">
      <c r="C8" s="13" t="s">
        <v>492</v>
      </c>
      <c r="D8" s="14">
        <v>22395</v>
      </c>
      <c r="F8" s="13" t="s">
        <v>17</v>
      </c>
      <c r="G8" s="11">
        <v>461</v>
      </c>
      <c r="I8" s="13" t="s">
        <v>23</v>
      </c>
      <c r="J8" s="14">
        <v>36917.5</v>
      </c>
      <c r="L8" s="13" t="s">
        <v>9</v>
      </c>
      <c r="M8" s="14">
        <v>67422.5</v>
      </c>
      <c r="R8" s="13" t="s">
        <v>54</v>
      </c>
      <c r="S8" s="14">
        <v>17670</v>
      </c>
      <c r="T8" s="11">
        <v>114</v>
      </c>
      <c r="V8" s="13" t="s">
        <v>79</v>
      </c>
      <c r="W8" s="14">
        <v>4370</v>
      </c>
      <c r="X8" s="11">
        <v>37</v>
      </c>
      <c r="Z8" s="13" t="s">
        <v>17</v>
      </c>
      <c r="AA8" s="14">
        <v>63022.5</v>
      </c>
      <c r="AC8" s="13" t="s">
        <v>17</v>
      </c>
      <c r="AD8" s="14">
        <v>48982.5</v>
      </c>
      <c r="AF8" s="13" t="s">
        <v>54</v>
      </c>
      <c r="AG8" s="14">
        <v>11810</v>
      </c>
      <c r="AI8" s="13" t="s">
        <v>34</v>
      </c>
      <c r="AJ8" s="14">
        <v>3065</v>
      </c>
      <c r="AL8" s="13" t="s">
        <v>30</v>
      </c>
      <c r="AM8" s="11">
        <v>7705</v>
      </c>
      <c r="AO8" s="13" t="s">
        <v>30</v>
      </c>
      <c r="AP8" s="14">
        <v>321.04166666666669</v>
      </c>
      <c r="AR8" s="13" t="s">
        <v>23</v>
      </c>
      <c r="AS8" s="16">
        <v>0.61420735423579598</v>
      </c>
      <c r="AU8">
        <v>1</v>
      </c>
      <c r="AX8" s="13" t="s">
        <v>38</v>
      </c>
      <c r="AY8" s="11">
        <v>39</v>
      </c>
      <c r="AZ8" s="11">
        <v>38</v>
      </c>
      <c r="BA8" s="11">
        <v>30</v>
      </c>
      <c r="BH8" s="13" t="s">
        <v>93</v>
      </c>
      <c r="BI8" s="11">
        <v>14</v>
      </c>
      <c r="BJ8" s="11">
        <v>3185</v>
      </c>
      <c r="BL8" s="13" t="s">
        <v>37</v>
      </c>
      <c r="BM8" s="11">
        <v>37105</v>
      </c>
      <c r="BO8" s="13" t="s">
        <v>491</v>
      </c>
      <c r="BP8" s="11">
        <v>41700</v>
      </c>
    </row>
    <row r="9" spans="1:68" x14ac:dyDescent="0.25">
      <c r="C9" s="13" t="s">
        <v>497</v>
      </c>
      <c r="D9" s="14">
        <v>31295</v>
      </c>
      <c r="F9" s="13" t="s">
        <v>513</v>
      </c>
      <c r="G9" s="11">
        <v>2186</v>
      </c>
      <c r="I9" s="13" t="s">
        <v>28</v>
      </c>
      <c r="J9" s="14">
        <v>47110</v>
      </c>
      <c r="AL9" s="13" t="s">
        <v>25</v>
      </c>
      <c r="AM9" s="11">
        <v>8445</v>
      </c>
      <c r="AO9" s="13" t="s">
        <v>25</v>
      </c>
      <c r="AP9" s="14">
        <v>228.24324324324326</v>
      </c>
      <c r="AR9" s="13" t="s">
        <v>28</v>
      </c>
      <c r="AS9" s="16">
        <v>0.6208342177881554</v>
      </c>
      <c r="AX9" s="13" t="s">
        <v>9</v>
      </c>
      <c r="AY9" s="11">
        <v>38</v>
      </c>
      <c r="AZ9" s="11">
        <v>55</v>
      </c>
      <c r="BA9" s="11">
        <v>39</v>
      </c>
      <c r="BL9" s="13" t="s">
        <v>21</v>
      </c>
      <c r="BM9" s="11">
        <v>30975</v>
      </c>
      <c r="BO9" s="13" t="s">
        <v>496</v>
      </c>
      <c r="BP9" s="11">
        <v>38345</v>
      </c>
    </row>
    <row r="10" spans="1:68" x14ac:dyDescent="0.25">
      <c r="C10" s="13" t="s">
        <v>501</v>
      </c>
      <c r="D10" s="14">
        <v>26860</v>
      </c>
      <c r="I10" s="13" t="s">
        <v>39</v>
      </c>
      <c r="J10" s="14">
        <v>43110</v>
      </c>
      <c r="AC10">
        <v>1</v>
      </c>
      <c r="AF10">
        <v>2</v>
      </c>
      <c r="AI10">
        <v>3</v>
      </c>
      <c r="AL10" s="13" t="s">
        <v>47</v>
      </c>
      <c r="AM10" s="11">
        <v>10030</v>
      </c>
      <c r="AO10" s="13" t="s">
        <v>47</v>
      </c>
      <c r="AP10" s="14">
        <v>334.33333333333331</v>
      </c>
      <c r="AR10" s="13" t="s">
        <v>39</v>
      </c>
      <c r="AS10" s="16">
        <v>0.61598237067965667</v>
      </c>
      <c r="AX10">
        <v>2</v>
      </c>
      <c r="BO10" s="13" t="s">
        <v>484</v>
      </c>
      <c r="BP10" s="11">
        <v>37222.5</v>
      </c>
    </row>
    <row r="11" spans="1:68" x14ac:dyDescent="0.25">
      <c r="C11" s="13" t="s">
        <v>495</v>
      </c>
      <c r="D11" s="14">
        <v>23015</v>
      </c>
      <c r="AL11" s="13" t="s">
        <v>63</v>
      </c>
      <c r="AM11" s="11">
        <v>6922.5</v>
      </c>
      <c r="AO11" s="13" t="s">
        <v>63</v>
      </c>
      <c r="AP11" s="14">
        <v>364.34210526315792</v>
      </c>
      <c r="AR11" s="13" t="s">
        <v>513</v>
      </c>
      <c r="AS11" s="16">
        <v>0.60489221932459647</v>
      </c>
    </row>
    <row r="12" spans="1:68" x14ac:dyDescent="0.25">
      <c r="C12" s="13" t="s">
        <v>483</v>
      </c>
      <c r="D12" s="14">
        <v>29030</v>
      </c>
      <c r="AL12" s="13" t="s">
        <v>83</v>
      </c>
      <c r="AM12" s="11">
        <v>11807.5</v>
      </c>
      <c r="AO12" s="13" t="s">
        <v>83</v>
      </c>
      <c r="AP12" s="14">
        <v>274.59302325581393</v>
      </c>
      <c r="BM12">
        <f>BM7+BM8+BM9</f>
        <v>107535</v>
      </c>
    </row>
    <row r="13" spans="1:68" x14ac:dyDescent="0.25">
      <c r="C13" s="13" t="s">
        <v>499</v>
      </c>
      <c r="D13" s="14">
        <v>22922.5</v>
      </c>
      <c r="AL13" s="13" t="s">
        <v>50</v>
      </c>
      <c r="AM13" s="11">
        <v>7822.5</v>
      </c>
      <c r="AO13" s="13" t="s">
        <v>50</v>
      </c>
      <c r="AP13" s="14">
        <v>252.33870967741936</v>
      </c>
      <c r="BP13">
        <f>BP4+BP5</f>
        <v>97917.5</v>
      </c>
    </row>
    <row r="14" spans="1:68" x14ac:dyDescent="0.25">
      <c r="C14" s="13" t="s">
        <v>485</v>
      </c>
      <c r="D14" s="14">
        <v>21377.5</v>
      </c>
      <c r="AL14" s="13" t="s">
        <v>105</v>
      </c>
      <c r="AM14" s="11">
        <v>3597.5</v>
      </c>
      <c r="AO14" s="13" t="s">
        <v>105</v>
      </c>
      <c r="AP14" s="14">
        <v>211.61764705882354</v>
      </c>
      <c r="BP14">
        <f>BP6+BP7</f>
        <v>87745</v>
      </c>
    </row>
    <row r="15" spans="1:68" x14ac:dyDescent="0.25">
      <c r="C15" s="13" t="s">
        <v>498</v>
      </c>
      <c r="D15" s="14">
        <v>23865</v>
      </c>
      <c r="AL15" s="13" t="s">
        <v>71</v>
      </c>
      <c r="AM15" s="11">
        <v>7185</v>
      </c>
      <c r="AO15" s="13" t="s">
        <v>71</v>
      </c>
      <c r="AP15" s="14">
        <v>217.72727272727272</v>
      </c>
      <c r="BP15">
        <f>BP8+BP9+BP10</f>
        <v>117267.5</v>
      </c>
    </row>
    <row r="16" spans="1:68" x14ac:dyDescent="0.25">
      <c r="AL16" s="13" t="s">
        <v>107</v>
      </c>
      <c r="AM16" s="11">
        <v>9975</v>
      </c>
      <c r="AO16" s="13" t="s">
        <v>107</v>
      </c>
      <c r="AP16" s="14">
        <v>498.75</v>
      </c>
    </row>
    <row r="17" spans="38:42" x14ac:dyDescent="0.25">
      <c r="AL17" s="13" t="s">
        <v>56</v>
      </c>
      <c r="AM17" s="11">
        <v>7362.5</v>
      </c>
      <c r="AO17" s="13" t="s">
        <v>56</v>
      </c>
      <c r="AP17" s="14">
        <v>387.5</v>
      </c>
    </row>
    <row r="18" spans="38:42" x14ac:dyDescent="0.25">
      <c r="AL18" s="13" t="s">
        <v>81</v>
      </c>
      <c r="AM18" s="11">
        <v>7275</v>
      </c>
      <c r="AO18" s="13" t="s">
        <v>81</v>
      </c>
      <c r="AP18" s="14">
        <v>242.5</v>
      </c>
    </row>
    <row r="19" spans="38:42" x14ac:dyDescent="0.25">
      <c r="AL19" s="13" t="s">
        <v>77</v>
      </c>
      <c r="AM19" s="11">
        <v>8130</v>
      </c>
      <c r="AO19" s="13" t="s">
        <v>77</v>
      </c>
      <c r="AP19" s="14">
        <v>508.125</v>
      </c>
    </row>
    <row r="20" spans="38:42" x14ac:dyDescent="0.25">
      <c r="AL20" s="13" t="s">
        <v>12</v>
      </c>
      <c r="AM20" s="11">
        <v>9810</v>
      </c>
      <c r="AO20" s="13" t="s">
        <v>12</v>
      </c>
      <c r="AP20" s="14">
        <v>408.75</v>
      </c>
    </row>
    <row r="21" spans="38:42" x14ac:dyDescent="0.25">
      <c r="AL21" s="13" t="s">
        <v>68</v>
      </c>
      <c r="AM21" s="11">
        <v>12942.5</v>
      </c>
      <c r="AO21" s="13" t="s">
        <v>68</v>
      </c>
      <c r="AP21" s="14">
        <v>588.2954545454545</v>
      </c>
    </row>
    <row r="22" spans="38:42" x14ac:dyDescent="0.25">
      <c r="AL22" s="13" t="s">
        <v>131</v>
      </c>
      <c r="AM22" s="11">
        <v>3415</v>
      </c>
      <c r="AO22" s="13" t="s">
        <v>131</v>
      </c>
      <c r="AP22" s="14">
        <v>189.72222222222223</v>
      </c>
    </row>
    <row r="23" spans="38:42" x14ac:dyDescent="0.25">
      <c r="AL23" s="13" t="s">
        <v>79</v>
      </c>
      <c r="AM23" s="11">
        <v>1400</v>
      </c>
      <c r="AO23" s="13" t="s">
        <v>79</v>
      </c>
      <c r="AP23" s="14">
        <v>107.69230769230769</v>
      </c>
    </row>
    <row r="24" spans="38:42" x14ac:dyDescent="0.25">
      <c r="AL24" s="13" t="s">
        <v>34</v>
      </c>
      <c r="AM24" s="11">
        <v>3065</v>
      </c>
      <c r="AO24" s="13" t="s">
        <v>34</v>
      </c>
      <c r="AP24" s="14">
        <v>133.2608695652174</v>
      </c>
    </row>
    <row r="25" spans="38:42" x14ac:dyDescent="0.25">
      <c r="AL25" s="13" t="s">
        <v>42</v>
      </c>
      <c r="AM25" s="11">
        <v>8665</v>
      </c>
      <c r="AO25" s="13" t="s">
        <v>42</v>
      </c>
      <c r="AP25" s="14">
        <v>228.02631578947367</v>
      </c>
    </row>
    <row r="26" spans="38:42" x14ac:dyDescent="0.25">
      <c r="AL26" s="13" t="s">
        <v>54</v>
      </c>
      <c r="AM26" s="11">
        <v>11810</v>
      </c>
      <c r="AO26" s="13" t="s">
        <v>54</v>
      </c>
      <c r="AP26" s="14">
        <v>407.24137931034483</v>
      </c>
    </row>
    <row r="27" spans="38:42" x14ac:dyDescent="0.25">
      <c r="AL27" s="13" t="s">
        <v>513</v>
      </c>
      <c r="AM27" s="11">
        <v>183240</v>
      </c>
      <c r="AO27" s="13" t="s">
        <v>513</v>
      </c>
      <c r="AP27" s="14">
        <v>313.23076923076923</v>
      </c>
    </row>
    <row r="44" spans="15:19" x14ac:dyDescent="0.25">
      <c r="O44" t="s">
        <v>514</v>
      </c>
      <c r="S44" t="s">
        <v>515</v>
      </c>
    </row>
  </sheetData>
  <pageMargins left="0.7" right="0.7" top="0.75" bottom="0.75" header="0.3" footer="0.3"/>
  <pageSetup orientation="portrait" r:id="rId2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C48D-1F4B-4EE1-969A-36490CB38657}">
  <dimension ref="E4:F8"/>
  <sheetViews>
    <sheetView workbookViewId="0">
      <selection activeCell="E6" sqref="E6"/>
    </sheetView>
  </sheetViews>
  <sheetFormatPr defaultRowHeight="15" x14ac:dyDescent="0.25"/>
  <cols>
    <col min="5" max="5" width="73.140625" bestFit="1" customWidth="1"/>
  </cols>
  <sheetData>
    <row r="4" spans="5:6" x14ac:dyDescent="0.25">
      <c r="E4" s="3" t="s">
        <v>505</v>
      </c>
      <c r="F4" s="6"/>
    </row>
    <row r="5" spans="5:6" x14ac:dyDescent="0.25">
      <c r="E5" s="3" t="s">
        <v>506</v>
      </c>
      <c r="F5" s="7"/>
    </row>
    <row r="6" spans="5:6" x14ac:dyDescent="0.25">
      <c r="E6" s="3" t="s">
        <v>507</v>
      </c>
      <c r="F6" s="8"/>
    </row>
    <row r="7" spans="5:6" x14ac:dyDescent="0.25">
      <c r="E7" s="3" t="s">
        <v>508</v>
      </c>
      <c r="F7" s="9"/>
    </row>
    <row r="8" spans="5:6" x14ac:dyDescent="0.25">
      <c r="E8" s="3" t="s">
        <v>509</v>
      </c>
      <c r="F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Procesde Data</vt:lpstr>
      <vt:lpstr>Customer Querrry</vt:lpstr>
      <vt:lpstr>Dashboard</vt:lpstr>
      <vt:lpstr>OVERALL PERFORMANCE</vt:lpstr>
      <vt:lpstr>BRANCH &amp; REGION</vt:lpstr>
      <vt:lpstr>PRODUCT &amp; CATEGORY INSIGHTS</vt:lpstr>
      <vt:lpstr>PROFITIBILITY</vt:lpstr>
      <vt:lpstr>CUSTOMER &amp;PAYMENT INSIGHTS</vt:lpstr>
      <vt:lpstr>KEY INSIGHTS</vt:lpstr>
      <vt:lpstr>Pivot Table 1</vt:lpstr>
      <vt:lpstr>Color Scheme To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SUPER-COMPUTERS</dc:creator>
  <cp:lastModifiedBy>SUPER-COMPUTERS</cp:lastModifiedBy>
  <dcterms:created xsi:type="dcterms:W3CDTF">2025-11-06T05:58:06Z</dcterms:created>
  <dcterms:modified xsi:type="dcterms:W3CDTF">2025-11-08T14:27:14Z</dcterms:modified>
</cp:coreProperties>
</file>